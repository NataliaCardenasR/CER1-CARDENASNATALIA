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sicologa\Desktop\"/>
    </mc:Choice>
  </mc:AlternateContent>
  <bookViews>
    <workbookView xWindow="240" yWindow="15" windowWidth="18795" windowHeight="9120" tabRatio="971" firstSheet="56"/>
  </bookViews>
  <sheets>
    <sheet name="CLIENTES" sheetId="1" r:id="rId1"/>
    <sheet name="PLANTILLA" sheetId="84" r:id="rId2"/>
    <sheet name="PEDRO NEGRONI " sheetId="98" r:id="rId3"/>
    <sheet name="JORGE CEA HERMANO RAUL CEA" sheetId="99" r:id="rId4"/>
    <sheet name="ALEMBERTH MORALES" sheetId="100" r:id="rId5"/>
    <sheet name="vecino fruteria sra Marta " sheetId="101" r:id="rId6"/>
    <sheet name="JAIME DON SADY" sheetId="102" r:id="rId7"/>
    <sheet name="PAPA DE ENRIQUE ANGULO" sheetId="103" r:id="rId8"/>
    <sheet name="JEREZ (CHUECO BUS NORTE)" sheetId="104" r:id="rId9"/>
    <sheet name="CARDENAS TORNERO (CHICO TIO CHO" sheetId="105" r:id="rId10"/>
    <sheet name="ALVARO CARRILLO" sheetId="106" r:id="rId11"/>
    <sheet name="SRA NELLY FURGON" sheetId="107" r:id="rId12"/>
    <sheet name="CRISTIAN SANTANA (PAILA)" sheetId="108" r:id="rId13"/>
    <sheet name="CESAR CARDENAS" sheetId="109" r:id="rId14"/>
    <sheet name="VICTOR GUTTIERREZ (TIO PABLO)" sheetId="110" r:id="rId15"/>
    <sheet name="BORIS MANCILLA (CACHETE)" sheetId="111" r:id="rId16"/>
    <sheet name="VICTOR MUÑOZ PEREZ (HUEITRA)" sheetId="112" r:id="rId17"/>
    <sheet name="DON JAIME GALLARDO PUCA" sheetId="113" r:id="rId18"/>
    <sheet name="ESTEBAN FARSO" sheetId="114" r:id="rId19"/>
    <sheet name="MANUEL VILLA " sheetId="115" r:id="rId20"/>
    <sheet name="VECINO GAS MOLL" sheetId="116" r:id="rId21"/>
    <sheet name="PAPA DE GUILLE" sheetId="86" r:id="rId22"/>
    <sheet name="SEGOVIA GUILLERMO" sheetId="87" r:id="rId23"/>
    <sheet name="FERNANDEZ NICASIO (TIO CABALLO)" sheetId="88" r:id="rId24"/>
    <sheet name="TIO CABALLO" sheetId="89" r:id="rId25"/>
    <sheet name="PAREDES JUAN (PERRITO)" sheetId="90" r:id="rId26"/>
    <sheet name="PALMA ROSAS JUAN  (VITOY)" sheetId="91" r:id="rId27"/>
    <sheet name="CORONADO LORENA" sheetId="92" r:id="rId28"/>
    <sheet name="MAESTRO GODOY  CACHITO" sheetId="93" r:id="rId29"/>
    <sheet name="NAGIAN BERNARDO " sheetId="94" r:id="rId30"/>
    <sheet name="TIO OMAR" sheetId="95" r:id="rId31"/>
    <sheet name="AROS MARCIA" sheetId="96" r:id="rId32"/>
    <sheet name="TOSKA" sheetId="97" r:id="rId33"/>
    <sheet name="CLIENTE NUEVO" sheetId="49" r:id="rId34"/>
    <sheet name="CHICO JULIO" sheetId="85" r:id="rId35"/>
    <sheet name="FELIPE AGUILAR (BULLA) LICAN" sheetId="82" r:id="rId36"/>
    <sheet name="FUENTES HECTOR" sheetId="79" r:id="rId37"/>
    <sheet name="LOAIZA JOSE(FRANKE)" sheetId="83" r:id="rId38"/>
    <sheet name="LORCA EMERSON" sheetId="80" r:id="rId39"/>
    <sheet name="PUSCHEL PABLO" sheetId="81" r:id="rId40"/>
    <sheet name="HENRIQUES JORGE (HUEVO)" sheetId="72" r:id="rId41"/>
    <sheet name="ROA MANUEL" sheetId="75" r:id="rId42"/>
    <sheet name="BAHAMONDEZ JORGE" sheetId="73" r:id="rId43"/>
    <sheet name="VELASQUEZ MECANICO" sheetId="74" r:id="rId44"/>
    <sheet name="CONTRERAS SEBASTIAN (PAREJAJUST" sheetId="57" r:id="rId45"/>
    <sheet name="CARRASCO PEDRO (ZORRO)" sheetId="58" r:id="rId46"/>
    <sheet name="TIO CHINO LESPAI" sheetId="76" r:id="rId47"/>
    <sheet name="BAHAMONDEZ MARCO (SUBOFICIAL)" sheetId="77" r:id="rId48"/>
    <sheet name="PINUER OMAR" sheetId="78" r:id="rId49"/>
    <sheet name="HERNANDEZ HECTOR (FALABELLA)" sheetId="71" r:id="rId50"/>
    <sheet name="BARRIA MIGUEL" sheetId="54" r:id="rId51"/>
    <sheet name="ROBLES LUIS" sheetId="55" r:id="rId52"/>
    <sheet name="SOBARZO RODOLFO" sheetId="56" r:id="rId53"/>
    <sheet name="AGUILAR HANZ" sheetId="53" r:id="rId54"/>
    <sheet name="VENEGAS EFRAIN BERNABE" sheetId="51" r:id="rId55"/>
    <sheet name="MONTES WALTER (LOCO EDY)" sheetId="52" r:id="rId56"/>
    <sheet name="RICARDO 5L" sheetId="50" r:id="rId57"/>
    <sheet name="BELARMINO MONSALVE" sheetId="44" r:id="rId58"/>
    <sheet name="FUENTES LUIS" sheetId="45" r:id="rId59"/>
    <sheet name="RUIZ MIREYA" sheetId="47" r:id="rId60"/>
    <sheet name="VIDAL CARLOS (ESTACIONAMIENTO)" sheetId="48" r:id="rId61"/>
    <sheet name="AGUILAR FELIPE (BULLA)" sheetId="24" r:id="rId62"/>
    <sheet name="CANALES JOSE LUIS" sheetId="2" r:id="rId63"/>
    <sheet name="CARDENAS GABRIEL" sheetId="9" r:id="rId64"/>
    <sheet name="CASTRO ALEX" sheetId="33" r:id="rId65"/>
    <sheet name="CASTRO NOLBERTO" sheetId="32" r:id="rId66"/>
    <sheet name="CEA RAUL" sheetId="36" r:id="rId67"/>
    <sheet name="COMIGUAL HUGO" sheetId="7" r:id="rId68"/>
    <sheet name="DEL RIO LORCA EMERSON" sheetId="31" r:id="rId69"/>
    <sheet name="DELGADO PATRICIO (RAPIDO Y FUR)" sheetId="12" r:id="rId70"/>
    <sheet name="FOLLERT CARDENAS JOSE" sheetId="17" r:id="rId71"/>
    <sheet name="GALLARDO ARMANDO" sheetId="23" r:id="rId72"/>
    <sheet name="GONZALEZ NELSON" sheetId="5" r:id="rId73"/>
    <sheet name="GUERRERO RODRIGO" sheetId="25" r:id="rId74"/>
    <sheet name="HINOSTROZA MOISES (LA CUMBRE)" sheetId="46" r:id="rId75"/>
    <sheet name="HUALA CARLOS" sheetId="43" r:id="rId76"/>
    <sheet name="MALDONADO MOISES" sheetId="35" r:id="rId77"/>
    <sheet name="MARTINEZ EDUARDO (FUSCHLOCHER)" sheetId="4" r:id="rId78"/>
    <sheet name="MENARES MAIKOL (GRUA)" sheetId="16" r:id="rId79"/>
    <sheet name="MORALES JORGE" sheetId="21" r:id="rId80"/>
    <sheet name="MOTOR EXPRESS" sheetId="6" r:id="rId81"/>
    <sheet name="PEREZ SADY" sheetId="8" r:id="rId82"/>
    <sheet name="PINGUINO MAURI" sheetId="15" r:id="rId83"/>
    <sheet name="PORTALES CRISTIAN" sheetId="19" r:id="rId84"/>
    <sheet name="QUEZADA RICHARD" sheetId="10" r:id="rId85"/>
    <sheet name="REYES ANDRES (PIRLO)" sheetId="14" r:id="rId86"/>
    <sheet name="ROA JULIAN" sheetId="13" r:id="rId87"/>
    <sheet name="ROGEL MARCOS" sheetId="22" r:id="rId88"/>
    <sheet name="ROSAS ALVARO" sheetId="38" r:id="rId89"/>
    <sheet name="ROSAS SERGIO (DON CHECHO)" sheetId="34" r:id="rId90"/>
    <sheet name="RUIZ JOAQUIN (CHISPA)" sheetId="18" r:id="rId91"/>
    <sheet name="T Y P" sheetId="30" r:id="rId92"/>
    <sheet name="TOLEDO IVAN (EL TERRIBLE)" sheetId="20" r:id="rId93"/>
    <sheet name="VERA LUIS (ELECTROVERA)" sheetId="27" r:id="rId94"/>
    <sheet name="Hoja1" sheetId="11" r:id="rId95"/>
  </sheets>
  <definedNames>
    <definedName name="_xlnm._FilterDatabase" localSheetId="61" hidden="1">'AGUILAR FELIPE (BULLA)'!$A$1:$F$99</definedName>
    <definedName name="_xlnm._FilterDatabase" localSheetId="31" hidden="1">'AROS MARCIA'!$A$1:$F$37</definedName>
    <definedName name="_xlnm._FilterDatabase" localSheetId="57" hidden="1">'BELARMINO MONSALVE'!$A$1:$F$37</definedName>
    <definedName name="_xlnm._FilterDatabase" localSheetId="62" hidden="1">'CANALES JOSE LUIS'!$A$1:$F$39</definedName>
    <definedName name="_xlnm._FilterDatabase" localSheetId="63" hidden="1">'CARDENAS GABRIEL'!$A$1:$F$40</definedName>
    <definedName name="_xlnm._FilterDatabase" localSheetId="64" hidden="1">'CASTRO ALEX'!$A$1:$F$40</definedName>
    <definedName name="_xlnm._FilterDatabase" localSheetId="65" hidden="1">'CASTRO NOLBERTO'!$A$1:$F$40</definedName>
    <definedName name="_xlnm._FilterDatabase" localSheetId="66" hidden="1">'CEA RAUL'!$A$1:$F$40</definedName>
    <definedName name="_xlnm._FilterDatabase" localSheetId="34" hidden="1">'CHICO JULIO'!$A$1:$F$37</definedName>
    <definedName name="_xlnm._FilterDatabase" localSheetId="33" hidden="1">'CLIENTE NUEVO'!$A$1:$F$37</definedName>
    <definedName name="_xlnm._FilterDatabase" localSheetId="0" hidden="1">CLIENTES!$A$1:$C$31</definedName>
    <definedName name="_xlnm._FilterDatabase" localSheetId="67" hidden="1">'COMIGUAL HUGO'!$A$1:$F$40</definedName>
    <definedName name="_xlnm._FilterDatabase" localSheetId="27" hidden="1">'CORONADO LORENA'!$A$1:$F$37</definedName>
    <definedName name="_xlnm._FilterDatabase" localSheetId="68" hidden="1">'DEL RIO LORCA EMERSON'!$A$1:$F$40</definedName>
    <definedName name="_xlnm._FilterDatabase" localSheetId="69" hidden="1">'DELGADO PATRICIO (RAPIDO Y FUR)'!$A$1:$F$40</definedName>
    <definedName name="_xlnm._FilterDatabase" localSheetId="23" hidden="1">'FERNANDEZ NICASIO (TIO CABALLO)'!$A$1:$F$37</definedName>
    <definedName name="_xlnm._FilterDatabase" localSheetId="70" hidden="1">'FOLLERT CARDENAS JOSE'!$A$1:$F$40</definedName>
    <definedName name="_xlnm._FilterDatabase" localSheetId="58" hidden="1">'FUENTES LUIS'!$A$1:$F$37</definedName>
    <definedName name="_xlnm._FilterDatabase" localSheetId="71" hidden="1">'GALLARDO ARMANDO'!$A$1:$F$40</definedName>
    <definedName name="_xlnm._FilterDatabase" localSheetId="72" hidden="1">'GONZALEZ NELSON'!$A$1:$F$40</definedName>
    <definedName name="_xlnm._FilterDatabase" localSheetId="73" hidden="1">'GUERRERO RODRIGO'!$A$1:$F$40</definedName>
    <definedName name="_xlnm._FilterDatabase" localSheetId="74" hidden="1">'HINOSTROZA MOISES (LA CUMBRE)'!$A$1:$F$36</definedName>
    <definedName name="_xlnm._FilterDatabase" localSheetId="75" hidden="1">'HUALA CARLOS'!$A$1:$F$37</definedName>
    <definedName name="_xlnm._FilterDatabase" localSheetId="37" hidden="1">'LOAIZA JOSE(FRANKE)'!$A$1:$F$37</definedName>
    <definedName name="_xlnm._FilterDatabase" localSheetId="28" hidden="1">'MAESTRO GODOY  CACHITO'!$A$1:$F$37</definedName>
    <definedName name="_xlnm._FilterDatabase" localSheetId="76" hidden="1">'MALDONADO MOISES'!$A$1:$G$40</definedName>
    <definedName name="_xlnm._FilterDatabase" localSheetId="77" hidden="1">'MARTINEZ EDUARDO (FUSCHLOCHER)'!$A$1:$F$40</definedName>
    <definedName name="_xlnm._FilterDatabase" localSheetId="78" hidden="1">'MENARES MAIKOL (GRUA)'!$A$1:$F$40</definedName>
    <definedName name="_xlnm._FilterDatabase" localSheetId="79" hidden="1">'MORALES JORGE'!$A$1:$F$40</definedName>
    <definedName name="_xlnm._FilterDatabase" localSheetId="80" hidden="1">'MOTOR EXPRESS'!$A$1:$F$40</definedName>
    <definedName name="_xlnm._FilterDatabase" localSheetId="29" hidden="1">'NAGIAN BERNARDO '!$A$1:$F$37</definedName>
    <definedName name="_xlnm._FilterDatabase" localSheetId="26" hidden="1">'PALMA ROSAS JUAN  (VITOY)'!$A$1:$F$37</definedName>
    <definedName name="_xlnm._FilterDatabase" localSheetId="21" hidden="1">'PAPA DE GUILLE'!$A$1:$F$37</definedName>
    <definedName name="_xlnm._FilterDatabase" localSheetId="25" hidden="1">'PAREDES JUAN (PERRITO)'!$A$1:$F$37</definedName>
    <definedName name="_xlnm._FilterDatabase" localSheetId="81" hidden="1">'PEREZ SADY'!$A$1:$F$40</definedName>
    <definedName name="_xlnm._FilterDatabase" localSheetId="82" hidden="1">'PINGUINO MAURI'!$A$1:$F$40</definedName>
    <definedName name="_xlnm._FilterDatabase" localSheetId="1" hidden="1">PLANTILLA!$A$1:$F$37</definedName>
    <definedName name="_xlnm._FilterDatabase" localSheetId="83" hidden="1">'PORTALES CRISTIAN'!$A$1:$F$39</definedName>
    <definedName name="_xlnm._FilterDatabase" localSheetId="84" hidden="1">'QUEZADA RICHARD'!$A$1:$F$40</definedName>
    <definedName name="_xlnm._FilterDatabase" localSheetId="85" hidden="1">'REYES ANDRES (PIRLO)'!$A$1:$F$38</definedName>
    <definedName name="_xlnm._FilterDatabase" localSheetId="86" hidden="1">'ROA JULIAN'!$A$1:$F$40</definedName>
    <definedName name="_xlnm._FilterDatabase" localSheetId="87" hidden="1">'ROGEL MARCOS'!$A$1:$F$39</definedName>
    <definedName name="_xlnm._FilterDatabase" localSheetId="88" hidden="1">'ROSAS ALVARO'!$A$1:$F$39</definedName>
    <definedName name="_xlnm._FilterDatabase" localSheetId="89" hidden="1">'ROSAS SERGIO (DON CHECHO)'!$A$1:$F$40</definedName>
    <definedName name="_xlnm._FilterDatabase" localSheetId="90" hidden="1">'RUIZ JOAQUIN (CHISPA)'!$A$1:$F$40</definedName>
    <definedName name="_xlnm._FilterDatabase" localSheetId="59" hidden="1">'RUIZ MIREYA'!$A$1:$F$36</definedName>
    <definedName name="_xlnm._FilterDatabase" localSheetId="22" hidden="1">'SEGOVIA GUILLERMO'!$A$1:$F$37</definedName>
    <definedName name="_xlnm._FilterDatabase" localSheetId="91" hidden="1">'T Y P'!$A$1:$F$40</definedName>
    <definedName name="_xlnm._FilterDatabase" localSheetId="24" hidden="1">'TIO CABALLO'!$A$1:$F$37</definedName>
    <definedName name="_xlnm._FilterDatabase" localSheetId="30" hidden="1">'TIO OMAR'!$A$1:$F$37</definedName>
    <definedName name="_xlnm._FilterDatabase" localSheetId="92" hidden="1">'TOLEDO IVAN (EL TERRIBLE)'!$A$1:$F$39</definedName>
    <definedName name="_xlnm._FilterDatabase" localSheetId="32" hidden="1">TOSKA!$A$1:$F$37</definedName>
    <definedName name="_xlnm._FilterDatabase" localSheetId="93" hidden="1">'VERA LUIS (ELECTROVERA)'!$A$1:$F$40</definedName>
    <definedName name="_xlnm._FilterDatabase" localSheetId="60" hidden="1">'VIDAL CARLOS (ESTACIONAMIENTO)'!$A$1:$F$36</definedName>
    <definedName name="JULIANROA">CLIENTES!$A$30</definedName>
    <definedName name="ROAJULIAN">CLIENTES!$A$30</definedName>
    <definedName name="VERA_LUIS__ELECTROVERA">"JULIANROA"</definedName>
  </definedNames>
  <calcPr calcId="152511"/>
</workbook>
</file>

<file path=xl/calcChain.xml><?xml version="1.0" encoding="utf-8"?>
<calcChain xmlns="http://schemas.openxmlformats.org/spreadsheetml/2006/main">
  <c r="I38" i="48" l="1"/>
  <c r="I39" i="48"/>
  <c r="I40" i="48"/>
  <c r="I41" i="48"/>
  <c r="I42" i="48"/>
  <c r="I43" i="48"/>
  <c r="I44" i="48"/>
  <c r="I45" i="48"/>
  <c r="I46" i="48"/>
  <c r="I47" i="48"/>
  <c r="I48" i="48"/>
  <c r="I49" i="48"/>
  <c r="I50" i="48"/>
  <c r="I51" i="48"/>
  <c r="I52" i="48"/>
  <c r="I53" i="48"/>
  <c r="I54" i="48"/>
  <c r="I55" i="48"/>
  <c r="I56" i="48"/>
  <c r="I42" i="9" l="1"/>
  <c r="I41" i="9"/>
  <c r="I42" i="32" l="1"/>
  <c r="I41" i="32" l="1"/>
  <c r="I37" i="48" l="1"/>
  <c r="I246" i="7" l="1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18" i="7" l="1"/>
  <c r="I35" i="2" l="1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185" i="24" l="1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I343" i="24"/>
  <c r="I344" i="24"/>
  <c r="I345" i="24"/>
  <c r="I346" i="24"/>
  <c r="I347" i="24"/>
  <c r="I348" i="24"/>
  <c r="I168" i="24"/>
  <c r="B42" i="1" l="1"/>
  <c r="I37" i="98" l="1"/>
  <c r="I36" i="98"/>
  <c r="I35" i="98"/>
  <c r="I34" i="98"/>
  <c r="I33" i="98"/>
  <c r="I32" i="98"/>
  <c r="I31" i="98"/>
  <c r="I30" i="98"/>
  <c r="I29" i="98"/>
  <c r="I28" i="98"/>
  <c r="I27" i="98"/>
  <c r="I26" i="98"/>
  <c r="I25" i="98"/>
  <c r="I24" i="98"/>
  <c r="I23" i="98"/>
  <c r="I22" i="98"/>
  <c r="I21" i="98"/>
  <c r="I20" i="98"/>
  <c r="I19" i="98"/>
  <c r="I18" i="98"/>
  <c r="I17" i="98"/>
  <c r="I16" i="98"/>
  <c r="I15" i="98"/>
  <c r="I14" i="98"/>
  <c r="I13" i="98"/>
  <c r="I12" i="98"/>
  <c r="I11" i="98"/>
  <c r="I10" i="98"/>
  <c r="I9" i="98"/>
  <c r="I8" i="98"/>
  <c r="I7" i="98"/>
  <c r="I6" i="98"/>
  <c r="I5" i="98"/>
  <c r="I4" i="98"/>
  <c r="I3" i="98"/>
  <c r="J2" i="98" s="1"/>
  <c r="I2" i="98"/>
  <c r="H2" i="98"/>
  <c r="I37" i="99"/>
  <c r="I36" i="99"/>
  <c r="I35" i="99"/>
  <c r="I34" i="99"/>
  <c r="I33" i="99"/>
  <c r="I32" i="99"/>
  <c r="I31" i="99"/>
  <c r="I30" i="99"/>
  <c r="I29" i="99"/>
  <c r="I28" i="99"/>
  <c r="I27" i="99"/>
  <c r="I26" i="99"/>
  <c r="I25" i="99"/>
  <c r="I24" i="99"/>
  <c r="I23" i="99"/>
  <c r="I22" i="99"/>
  <c r="I21" i="99"/>
  <c r="I20" i="99"/>
  <c r="I19" i="99"/>
  <c r="I18" i="99"/>
  <c r="I17" i="99"/>
  <c r="I16" i="99"/>
  <c r="I15" i="99"/>
  <c r="I14" i="99"/>
  <c r="I13" i="99"/>
  <c r="I12" i="99"/>
  <c r="I11" i="99"/>
  <c r="I10" i="99"/>
  <c r="I9" i="99"/>
  <c r="I8" i="99"/>
  <c r="I7" i="99"/>
  <c r="I6" i="99"/>
  <c r="I5" i="99"/>
  <c r="I4" i="99"/>
  <c r="I3" i="99"/>
  <c r="J2" i="99"/>
  <c r="I2" i="99"/>
  <c r="H2" i="99"/>
  <c r="I37" i="100"/>
  <c r="I36" i="100"/>
  <c r="I35" i="100"/>
  <c r="I34" i="100"/>
  <c r="I33" i="100"/>
  <c r="I32" i="100"/>
  <c r="I31" i="100"/>
  <c r="I30" i="100"/>
  <c r="I29" i="100"/>
  <c r="I28" i="100"/>
  <c r="I27" i="100"/>
  <c r="I26" i="100"/>
  <c r="I25" i="100"/>
  <c r="I24" i="100"/>
  <c r="I23" i="100"/>
  <c r="I22" i="100"/>
  <c r="I21" i="100"/>
  <c r="I20" i="100"/>
  <c r="I19" i="100"/>
  <c r="I18" i="100"/>
  <c r="I17" i="100"/>
  <c r="I16" i="100"/>
  <c r="I15" i="100"/>
  <c r="I14" i="100"/>
  <c r="I13" i="100"/>
  <c r="I12" i="100"/>
  <c r="I11" i="100"/>
  <c r="I10" i="100"/>
  <c r="I9" i="100"/>
  <c r="I8" i="100"/>
  <c r="I7" i="100"/>
  <c r="I6" i="100"/>
  <c r="I5" i="100"/>
  <c r="I4" i="100"/>
  <c r="I3" i="100"/>
  <c r="J2" i="100"/>
  <c r="I2" i="100"/>
  <c r="H2" i="100"/>
  <c r="I37" i="101"/>
  <c r="I36" i="101"/>
  <c r="I35" i="101"/>
  <c r="I34" i="101"/>
  <c r="I33" i="101"/>
  <c r="I32" i="101"/>
  <c r="I31" i="101"/>
  <c r="I30" i="101"/>
  <c r="I29" i="101"/>
  <c r="I28" i="101"/>
  <c r="I27" i="101"/>
  <c r="I26" i="101"/>
  <c r="I25" i="101"/>
  <c r="I24" i="101"/>
  <c r="I23" i="101"/>
  <c r="I22" i="101"/>
  <c r="I21" i="101"/>
  <c r="I20" i="101"/>
  <c r="I19" i="101"/>
  <c r="I18" i="101"/>
  <c r="I17" i="101"/>
  <c r="I16" i="101"/>
  <c r="I15" i="101"/>
  <c r="I14" i="101"/>
  <c r="I13" i="101"/>
  <c r="I12" i="101"/>
  <c r="I11" i="101"/>
  <c r="I10" i="101"/>
  <c r="I9" i="101"/>
  <c r="I8" i="101"/>
  <c r="I7" i="101"/>
  <c r="I6" i="101"/>
  <c r="I5" i="101"/>
  <c r="I4" i="101"/>
  <c r="I3" i="101"/>
  <c r="J2" i="101"/>
  <c r="I2" i="101"/>
  <c r="H2" i="101"/>
  <c r="I37" i="102"/>
  <c r="I36" i="102"/>
  <c r="I35" i="102"/>
  <c r="I34" i="102"/>
  <c r="I33" i="102"/>
  <c r="I32" i="102"/>
  <c r="I31" i="102"/>
  <c r="I30" i="102"/>
  <c r="I29" i="102"/>
  <c r="I28" i="102"/>
  <c r="I27" i="102"/>
  <c r="I26" i="102"/>
  <c r="I25" i="102"/>
  <c r="I24" i="102"/>
  <c r="I23" i="102"/>
  <c r="I22" i="102"/>
  <c r="I21" i="102"/>
  <c r="I20" i="102"/>
  <c r="I19" i="102"/>
  <c r="I18" i="102"/>
  <c r="I17" i="102"/>
  <c r="I16" i="102"/>
  <c r="I15" i="102"/>
  <c r="I14" i="102"/>
  <c r="I13" i="102"/>
  <c r="I12" i="102"/>
  <c r="I11" i="102"/>
  <c r="I10" i="102"/>
  <c r="I9" i="102"/>
  <c r="I8" i="102"/>
  <c r="I7" i="102"/>
  <c r="I6" i="102"/>
  <c r="I5" i="102"/>
  <c r="I4" i="102"/>
  <c r="I3" i="102"/>
  <c r="J2" i="102"/>
  <c r="I2" i="102"/>
  <c r="H2" i="102"/>
  <c r="I37" i="103"/>
  <c r="I36" i="103"/>
  <c r="I35" i="103"/>
  <c r="I34" i="103"/>
  <c r="I33" i="103"/>
  <c r="I32" i="103"/>
  <c r="I31" i="103"/>
  <c r="I30" i="103"/>
  <c r="I29" i="103"/>
  <c r="I28" i="103"/>
  <c r="I27" i="103"/>
  <c r="I26" i="103"/>
  <c r="I25" i="103"/>
  <c r="I24" i="103"/>
  <c r="I23" i="103"/>
  <c r="I22" i="103"/>
  <c r="I21" i="103"/>
  <c r="I20" i="103"/>
  <c r="I19" i="103"/>
  <c r="I18" i="103"/>
  <c r="I17" i="103"/>
  <c r="I16" i="103"/>
  <c r="I15" i="103"/>
  <c r="I14" i="103"/>
  <c r="I13" i="103"/>
  <c r="I12" i="103"/>
  <c r="I11" i="103"/>
  <c r="I10" i="103"/>
  <c r="I9" i="103"/>
  <c r="I8" i="103"/>
  <c r="I7" i="103"/>
  <c r="I6" i="103"/>
  <c r="I5" i="103"/>
  <c r="I4" i="103"/>
  <c r="I3" i="103"/>
  <c r="J2" i="103"/>
  <c r="I2" i="103"/>
  <c r="H2" i="103"/>
  <c r="I37" i="104"/>
  <c r="I36" i="104"/>
  <c r="I35" i="104"/>
  <c r="I34" i="104"/>
  <c r="I33" i="104"/>
  <c r="I32" i="104"/>
  <c r="I31" i="104"/>
  <c r="I30" i="104"/>
  <c r="I29" i="104"/>
  <c r="I28" i="104"/>
  <c r="I27" i="104"/>
  <c r="I26" i="104"/>
  <c r="I25" i="104"/>
  <c r="I24" i="104"/>
  <c r="I23" i="104"/>
  <c r="I22" i="104"/>
  <c r="I21" i="104"/>
  <c r="I20" i="104"/>
  <c r="I19" i="104"/>
  <c r="I18" i="104"/>
  <c r="I17" i="104"/>
  <c r="I16" i="104"/>
  <c r="I15" i="104"/>
  <c r="I14" i="104"/>
  <c r="I13" i="104"/>
  <c r="I12" i="104"/>
  <c r="I11" i="104"/>
  <c r="I10" i="104"/>
  <c r="I9" i="104"/>
  <c r="I8" i="104"/>
  <c r="I7" i="104"/>
  <c r="I6" i="104"/>
  <c r="I5" i="104"/>
  <c r="I4" i="104"/>
  <c r="I3" i="104"/>
  <c r="J2" i="104"/>
  <c r="I2" i="104"/>
  <c r="H2" i="104"/>
  <c r="I37" i="105"/>
  <c r="I36" i="105"/>
  <c r="I35" i="105"/>
  <c r="I34" i="105"/>
  <c r="I33" i="105"/>
  <c r="I32" i="105"/>
  <c r="I31" i="105"/>
  <c r="I30" i="105"/>
  <c r="I29" i="105"/>
  <c r="I28" i="105"/>
  <c r="I27" i="105"/>
  <c r="I26" i="105"/>
  <c r="I25" i="105"/>
  <c r="I24" i="105"/>
  <c r="I23" i="105"/>
  <c r="I22" i="105"/>
  <c r="I21" i="105"/>
  <c r="I20" i="105"/>
  <c r="I19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I6" i="105"/>
  <c r="I5" i="105"/>
  <c r="I4" i="105"/>
  <c r="I3" i="105"/>
  <c r="J2" i="105"/>
  <c r="I2" i="105"/>
  <c r="H2" i="105"/>
  <c r="I37" i="106"/>
  <c r="I36" i="106"/>
  <c r="I35" i="106"/>
  <c r="I34" i="106"/>
  <c r="I33" i="106"/>
  <c r="I32" i="106"/>
  <c r="I31" i="106"/>
  <c r="I30" i="106"/>
  <c r="I29" i="106"/>
  <c r="I28" i="106"/>
  <c r="I27" i="106"/>
  <c r="I26" i="106"/>
  <c r="I25" i="106"/>
  <c r="I24" i="106"/>
  <c r="I23" i="106"/>
  <c r="I22" i="106"/>
  <c r="I21" i="106"/>
  <c r="I20" i="106"/>
  <c r="I19" i="106"/>
  <c r="I18" i="106"/>
  <c r="I17" i="106"/>
  <c r="I16" i="106"/>
  <c r="I15" i="106"/>
  <c r="I14" i="106"/>
  <c r="I13" i="106"/>
  <c r="I12" i="106"/>
  <c r="I11" i="106"/>
  <c r="I10" i="106"/>
  <c r="I9" i="106"/>
  <c r="I8" i="106"/>
  <c r="I7" i="106"/>
  <c r="I6" i="106"/>
  <c r="I5" i="106"/>
  <c r="I4" i="106"/>
  <c r="I3" i="106"/>
  <c r="I2" i="106"/>
  <c r="J2" i="106" s="1"/>
  <c r="H2" i="106"/>
  <c r="I37" i="107"/>
  <c r="I36" i="107"/>
  <c r="I35" i="107"/>
  <c r="I34" i="107"/>
  <c r="I33" i="107"/>
  <c r="I32" i="107"/>
  <c r="I31" i="107"/>
  <c r="I30" i="107"/>
  <c r="I29" i="107"/>
  <c r="I28" i="107"/>
  <c r="I27" i="107"/>
  <c r="I26" i="107"/>
  <c r="I25" i="107"/>
  <c r="I24" i="107"/>
  <c r="I23" i="107"/>
  <c r="I22" i="107"/>
  <c r="I21" i="107"/>
  <c r="I20" i="107"/>
  <c r="I19" i="107"/>
  <c r="I18" i="107"/>
  <c r="I17" i="107"/>
  <c r="I16" i="107"/>
  <c r="I15" i="107"/>
  <c r="I14" i="107"/>
  <c r="I13" i="107"/>
  <c r="I12" i="107"/>
  <c r="I11" i="107"/>
  <c r="I10" i="107"/>
  <c r="I9" i="107"/>
  <c r="I8" i="107"/>
  <c r="I7" i="107"/>
  <c r="I6" i="107"/>
  <c r="I5" i="107"/>
  <c r="I4" i="107"/>
  <c r="I3" i="107"/>
  <c r="J2" i="107"/>
  <c r="I2" i="107"/>
  <c r="H2" i="107"/>
  <c r="I37" i="108"/>
  <c r="I36" i="108"/>
  <c r="I35" i="108"/>
  <c r="I34" i="108"/>
  <c r="I33" i="108"/>
  <c r="I32" i="108"/>
  <c r="I31" i="108"/>
  <c r="I30" i="108"/>
  <c r="I29" i="108"/>
  <c r="I28" i="108"/>
  <c r="I27" i="108"/>
  <c r="I26" i="108"/>
  <c r="I25" i="108"/>
  <c r="I24" i="108"/>
  <c r="I23" i="108"/>
  <c r="I22" i="108"/>
  <c r="I21" i="108"/>
  <c r="I20" i="108"/>
  <c r="I19" i="108"/>
  <c r="I18" i="108"/>
  <c r="I17" i="108"/>
  <c r="I16" i="108"/>
  <c r="I15" i="108"/>
  <c r="I14" i="108"/>
  <c r="I13" i="108"/>
  <c r="I12" i="108"/>
  <c r="I11" i="108"/>
  <c r="I10" i="108"/>
  <c r="I9" i="108"/>
  <c r="I8" i="108"/>
  <c r="I7" i="108"/>
  <c r="I6" i="108"/>
  <c r="I5" i="108"/>
  <c r="I4" i="108"/>
  <c r="I3" i="108"/>
  <c r="J2" i="108"/>
  <c r="I2" i="108"/>
  <c r="H2" i="108"/>
  <c r="I37" i="109"/>
  <c r="I36" i="109"/>
  <c r="I35" i="109"/>
  <c r="I34" i="109"/>
  <c r="I33" i="109"/>
  <c r="I32" i="109"/>
  <c r="I31" i="109"/>
  <c r="I30" i="109"/>
  <c r="I29" i="109"/>
  <c r="I28" i="109"/>
  <c r="I27" i="109"/>
  <c r="I26" i="109"/>
  <c r="I25" i="109"/>
  <c r="I24" i="109"/>
  <c r="I23" i="109"/>
  <c r="I22" i="109"/>
  <c r="I21" i="109"/>
  <c r="I20" i="109"/>
  <c r="I19" i="109"/>
  <c r="I18" i="109"/>
  <c r="I17" i="109"/>
  <c r="I16" i="109"/>
  <c r="I15" i="109"/>
  <c r="I14" i="109"/>
  <c r="I13" i="109"/>
  <c r="I12" i="109"/>
  <c r="I11" i="109"/>
  <c r="I10" i="109"/>
  <c r="I9" i="109"/>
  <c r="I8" i="109"/>
  <c r="I7" i="109"/>
  <c r="I6" i="109"/>
  <c r="I5" i="109"/>
  <c r="I4" i="109"/>
  <c r="I3" i="109"/>
  <c r="J2" i="109"/>
  <c r="I2" i="109"/>
  <c r="H2" i="109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I5" i="110"/>
  <c r="I4" i="110"/>
  <c r="I3" i="110"/>
  <c r="J2" i="110"/>
  <c r="I2" i="110"/>
  <c r="H2" i="110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I16" i="111"/>
  <c r="I15" i="111"/>
  <c r="I14" i="111"/>
  <c r="I13" i="111"/>
  <c r="I12" i="111"/>
  <c r="I11" i="111"/>
  <c r="I10" i="111"/>
  <c r="I9" i="111"/>
  <c r="I8" i="111"/>
  <c r="I7" i="111"/>
  <c r="I6" i="111"/>
  <c r="I5" i="111"/>
  <c r="I4" i="111"/>
  <c r="I3" i="111"/>
  <c r="J2" i="111"/>
  <c r="I2" i="111"/>
  <c r="H2" i="111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5" i="112"/>
  <c r="I4" i="112"/>
  <c r="I3" i="112"/>
  <c r="J2" i="112"/>
  <c r="I2" i="112"/>
  <c r="H2" i="112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23" i="113"/>
  <c r="I22" i="113"/>
  <c r="I21" i="113"/>
  <c r="I20" i="113"/>
  <c r="I19" i="113"/>
  <c r="I18" i="113"/>
  <c r="I17" i="113"/>
  <c r="I16" i="113"/>
  <c r="I15" i="113"/>
  <c r="I14" i="113"/>
  <c r="I13" i="113"/>
  <c r="I12" i="113"/>
  <c r="I11" i="113"/>
  <c r="I10" i="113"/>
  <c r="I9" i="113"/>
  <c r="I8" i="113"/>
  <c r="I7" i="113"/>
  <c r="I6" i="113"/>
  <c r="I5" i="113"/>
  <c r="I4" i="113"/>
  <c r="I3" i="113"/>
  <c r="J2" i="113"/>
  <c r="I2" i="113"/>
  <c r="H2" i="113"/>
  <c r="I37" i="114"/>
  <c r="I36" i="114"/>
  <c r="I35" i="114"/>
  <c r="I34" i="114"/>
  <c r="I33" i="114"/>
  <c r="I32" i="114"/>
  <c r="I31" i="114"/>
  <c r="I30" i="114"/>
  <c r="I29" i="114"/>
  <c r="I28" i="114"/>
  <c r="I27" i="114"/>
  <c r="I26" i="114"/>
  <c r="I25" i="114"/>
  <c r="I24" i="114"/>
  <c r="I23" i="114"/>
  <c r="I22" i="114"/>
  <c r="I21" i="114"/>
  <c r="I20" i="114"/>
  <c r="I19" i="114"/>
  <c r="I18" i="114"/>
  <c r="I17" i="114"/>
  <c r="I16" i="114"/>
  <c r="I15" i="114"/>
  <c r="I14" i="114"/>
  <c r="I13" i="114"/>
  <c r="I12" i="114"/>
  <c r="I11" i="114"/>
  <c r="I10" i="114"/>
  <c r="I9" i="114"/>
  <c r="I8" i="114"/>
  <c r="I7" i="114"/>
  <c r="I6" i="114"/>
  <c r="I5" i="114"/>
  <c r="I4" i="114"/>
  <c r="I3" i="114"/>
  <c r="J2" i="114"/>
  <c r="I2" i="114"/>
  <c r="H2" i="114"/>
  <c r="I37" i="115"/>
  <c r="I36" i="115"/>
  <c r="I35" i="115"/>
  <c r="I34" i="115"/>
  <c r="I33" i="115"/>
  <c r="I32" i="115"/>
  <c r="I31" i="115"/>
  <c r="I30" i="115"/>
  <c r="I29" i="115"/>
  <c r="I28" i="115"/>
  <c r="I27" i="115"/>
  <c r="I26" i="115"/>
  <c r="I25" i="115"/>
  <c r="I24" i="115"/>
  <c r="I23" i="115"/>
  <c r="I22" i="115"/>
  <c r="I21" i="115"/>
  <c r="I20" i="115"/>
  <c r="I19" i="115"/>
  <c r="I18" i="115"/>
  <c r="J2" i="115" s="1"/>
  <c r="I17" i="115"/>
  <c r="I16" i="115"/>
  <c r="I15" i="115"/>
  <c r="I14" i="115"/>
  <c r="I13" i="115"/>
  <c r="I12" i="115"/>
  <c r="I11" i="115"/>
  <c r="I10" i="115"/>
  <c r="I9" i="115"/>
  <c r="I8" i="115"/>
  <c r="I7" i="115"/>
  <c r="I6" i="115"/>
  <c r="I5" i="115"/>
  <c r="I4" i="115"/>
  <c r="I3" i="115"/>
  <c r="I2" i="115"/>
  <c r="H2" i="115"/>
  <c r="I37" i="116"/>
  <c r="I36" i="116"/>
  <c r="J2" i="116" s="1"/>
  <c r="I35" i="116"/>
  <c r="I34" i="116"/>
  <c r="I33" i="116"/>
  <c r="I32" i="116"/>
  <c r="I31" i="116"/>
  <c r="I30" i="116"/>
  <c r="I29" i="116"/>
  <c r="I28" i="116"/>
  <c r="I27" i="116"/>
  <c r="I26" i="116"/>
  <c r="I25" i="116"/>
  <c r="I24" i="116"/>
  <c r="I23" i="116"/>
  <c r="I22" i="116"/>
  <c r="I21" i="116"/>
  <c r="I20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6" i="116"/>
  <c r="I5" i="116"/>
  <c r="I4" i="116"/>
  <c r="I3" i="116"/>
  <c r="I2" i="116"/>
  <c r="H2" i="116"/>
  <c r="I41" i="6" l="1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39" i="6"/>
  <c r="I40" i="6"/>
  <c r="I210" i="7" l="1"/>
  <c r="I211" i="7"/>
  <c r="I212" i="7"/>
  <c r="I213" i="7"/>
  <c r="I214" i="7"/>
  <c r="I215" i="7"/>
  <c r="I216" i="7"/>
  <c r="I217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18" i="48" l="1"/>
  <c r="I127" i="24" l="1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22" i="24"/>
  <c r="I171" i="7" l="1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126" i="24" l="1"/>
  <c r="I125" i="24"/>
  <c r="I124" i="24"/>
  <c r="I123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31" i="7" l="1"/>
  <c r="I139" i="7" l="1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25" i="7"/>
  <c r="I126" i="7"/>
  <c r="I127" i="7"/>
  <c r="I128" i="7"/>
  <c r="I129" i="7"/>
  <c r="I130" i="7"/>
  <c r="I132" i="7"/>
  <c r="I133" i="7"/>
  <c r="I134" i="7"/>
  <c r="I135" i="7"/>
  <c r="I136" i="7"/>
  <c r="I137" i="7"/>
  <c r="I138" i="7"/>
  <c r="I123" i="7"/>
  <c r="I124" i="7"/>
  <c r="I122" i="7" l="1"/>
  <c r="I121" i="7" l="1"/>
  <c r="I85" i="24" l="1"/>
  <c r="I120" i="7" l="1"/>
  <c r="I119" i="7" l="1"/>
  <c r="I118" i="7"/>
  <c r="I84" i="24" l="1"/>
  <c r="I117" i="7" l="1"/>
  <c r="I116" i="7" l="1"/>
  <c r="I83" i="24" l="1"/>
  <c r="I115" i="7" l="1"/>
  <c r="I82" i="24" l="1"/>
  <c r="I81" i="24" l="1"/>
  <c r="I114" i="7" l="1"/>
  <c r="I80" i="24" l="1"/>
  <c r="I79" i="24" l="1"/>
  <c r="I78" i="24" l="1"/>
  <c r="I77" i="24" l="1"/>
  <c r="I113" i="7" l="1"/>
  <c r="I112" i="7"/>
  <c r="I76" i="24" l="1"/>
  <c r="I75" i="24" l="1"/>
  <c r="I74" i="24" l="1"/>
  <c r="I73" i="24"/>
  <c r="I111" i="7" l="1"/>
  <c r="I110" i="7"/>
  <c r="I109" i="7"/>
  <c r="I72" i="24" l="1"/>
  <c r="I71" i="24" l="1"/>
  <c r="B63" i="1" l="1"/>
  <c r="B65" i="1"/>
  <c r="I37" i="97"/>
  <c r="I36" i="97"/>
  <c r="I35" i="97"/>
  <c r="I34" i="97"/>
  <c r="I33" i="97"/>
  <c r="I32" i="97"/>
  <c r="I31" i="97"/>
  <c r="I30" i="97"/>
  <c r="I29" i="97"/>
  <c r="I28" i="97"/>
  <c r="I27" i="97"/>
  <c r="I26" i="97"/>
  <c r="I25" i="97"/>
  <c r="I24" i="97"/>
  <c r="I23" i="97"/>
  <c r="I22" i="97"/>
  <c r="I21" i="97"/>
  <c r="I20" i="97"/>
  <c r="I19" i="97"/>
  <c r="I18" i="97"/>
  <c r="I17" i="97"/>
  <c r="I16" i="97"/>
  <c r="I15" i="97"/>
  <c r="I14" i="97"/>
  <c r="I13" i="97"/>
  <c r="I12" i="97"/>
  <c r="I11" i="97"/>
  <c r="I10" i="97"/>
  <c r="I9" i="97"/>
  <c r="I8" i="97"/>
  <c r="I7" i="97"/>
  <c r="I6" i="97"/>
  <c r="I5" i="97"/>
  <c r="I4" i="97"/>
  <c r="I3" i="97"/>
  <c r="I2" i="97"/>
  <c r="H2" i="97"/>
  <c r="I37" i="96"/>
  <c r="I36" i="96"/>
  <c r="I35" i="96"/>
  <c r="I34" i="96"/>
  <c r="I33" i="96"/>
  <c r="I32" i="96"/>
  <c r="I31" i="96"/>
  <c r="I30" i="96"/>
  <c r="I29" i="96"/>
  <c r="I28" i="96"/>
  <c r="I27" i="96"/>
  <c r="I26" i="96"/>
  <c r="I25" i="96"/>
  <c r="I24" i="96"/>
  <c r="I23" i="96"/>
  <c r="I22" i="96"/>
  <c r="I21" i="96"/>
  <c r="I20" i="96"/>
  <c r="I19" i="96"/>
  <c r="I18" i="96"/>
  <c r="I17" i="96"/>
  <c r="I16" i="96"/>
  <c r="I15" i="96"/>
  <c r="I14" i="96"/>
  <c r="I13" i="96"/>
  <c r="I12" i="96"/>
  <c r="I11" i="96"/>
  <c r="I10" i="96"/>
  <c r="I9" i="96"/>
  <c r="I8" i="96"/>
  <c r="I7" i="96"/>
  <c r="I6" i="96"/>
  <c r="I5" i="96"/>
  <c r="I4" i="96"/>
  <c r="I3" i="96"/>
  <c r="J2" i="96"/>
  <c r="I2" i="96"/>
  <c r="H2" i="96"/>
  <c r="I37" i="95"/>
  <c r="I36" i="95"/>
  <c r="I35" i="95"/>
  <c r="I34" i="95"/>
  <c r="I33" i="95"/>
  <c r="I32" i="95"/>
  <c r="I31" i="95"/>
  <c r="I30" i="95"/>
  <c r="I29" i="95"/>
  <c r="I28" i="95"/>
  <c r="I27" i="95"/>
  <c r="I26" i="95"/>
  <c r="I25" i="95"/>
  <c r="I24" i="95"/>
  <c r="I23" i="95"/>
  <c r="I22" i="95"/>
  <c r="I21" i="95"/>
  <c r="I20" i="95"/>
  <c r="I19" i="95"/>
  <c r="I18" i="95"/>
  <c r="I17" i="95"/>
  <c r="I16" i="95"/>
  <c r="I15" i="95"/>
  <c r="I14" i="95"/>
  <c r="I13" i="95"/>
  <c r="I12" i="95"/>
  <c r="I11" i="95"/>
  <c r="I10" i="95"/>
  <c r="I9" i="95"/>
  <c r="I8" i="95"/>
  <c r="I7" i="95"/>
  <c r="I6" i="95"/>
  <c r="I5" i="95"/>
  <c r="I4" i="95"/>
  <c r="I3" i="95"/>
  <c r="I2" i="95"/>
  <c r="H2" i="95"/>
  <c r="I37" i="94"/>
  <c r="I36" i="94"/>
  <c r="I35" i="94"/>
  <c r="I34" i="94"/>
  <c r="I33" i="94"/>
  <c r="I32" i="94"/>
  <c r="I31" i="94"/>
  <c r="I30" i="94"/>
  <c r="I29" i="94"/>
  <c r="I28" i="94"/>
  <c r="I27" i="94"/>
  <c r="I26" i="94"/>
  <c r="I25" i="94"/>
  <c r="I24" i="94"/>
  <c r="I23" i="94"/>
  <c r="I22" i="94"/>
  <c r="I21" i="94"/>
  <c r="I20" i="94"/>
  <c r="I19" i="94"/>
  <c r="I18" i="94"/>
  <c r="I17" i="94"/>
  <c r="I16" i="94"/>
  <c r="I15" i="94"/>
  <c r="I14" i="94"/>
  <c r="I13" i="94"/>
  <c r="I12" i="94"/>
  <c r="I11" i="94"/>
  <c r="I10" i="94"/>
  <c r="I9" i="94"/>
  <c r="I8" i="94"/>
  <c r="I7" i="94"/>
  <c r="I6" i="94"/>
  <c r="I5" i="94"/>
  <c r="I4" i="94"/>
  <c r="I3" i="94"/>
  <c r="J2" i="94"/>
  <c r="I2" i="94"/>
  <c r="H2" i="94"/>
  <c r="I37" i="93"/>
  <c r="I36" i="93"/>
  <c r="I35" i="93"/>
  <c r="I34" i="93"/>
  <c r="I33" i="93"/>
  <c r="I32" i="93"/>
  <c r="I31" i="93"/>
  <c r="I30" i="93"/>
  <c r="I29" i="93"/>
  <c r="I28" i="93"/>
  <c r="I27" i="93"/>
  <c r="I26" i="93"/>
  <c r="I25" i="93"/>
  <c r="I24" i="93"/>
  <c r="I23" i="93"/>
  <c r="I22" i="93"/>
  <c r="I21" i="93"/>
  <c r="I20" i="93"/>
  <c r="I19" i="93"/>
  <c r="I18" i="93"/>
  <c r="I17" i="93"/>
  <c r="I16" i="93"/>
  <c r="I15" i="93"/>
  <c r="I14" i="93"/>
  <c r="I13" i="93"/>
  <c r="I12" i="93"/>
  <c r="I11" i="93"/>
  <c r="I10" i="93"/>
  <c r="I9" i="93"/>
  <c r="I8" i="93"/>
  <c r="I7" i="93"/>
  <c r="I6" i="93"/>
  <c r="I5" i="93"/>
  <c r="I4" i="93"/>
  <c r="I3" i="93"/>
  <c r="I2" i="93"/>
  <c r="J2" i="93" s="1"/>
  <c r="B62" i="1" s="1"/>
  <c r="H2" i="93"/>
  <c r="I37" i="92"/>
  <c r="I36" i="92"/>
  <c r="I35" i="92"/>
  <c r="I34" i="92"/>
  <c r="I33" i="92"/>
  <c r="I32" i="92"/>
  <c r="I31" i="92"/>
  <c r="I30" i="92"/>
  <c r="I29" i="92"/>
  <c r="I28" i="92"/>
  <c r="I27" i="92"/>
  <c r="I26" i="92"/>
  <c r="I25" i="92"/>
  <c r="I24" i="92"/>
  <c r="I23" i="92"/>
  <c r="I22" i="92"/>
  <c r="I21" i="92"/>
  <c r="I20" i="92"/>
  <c r="I19" i="92"/>
  <c r="I18" i="92"/>
  <c r="I17" i="92"/>
  <c r="I16" i="92"/>
  <c r="I15" i="92"/>
  <c r="I14" i="92"/>
  <c r="I13" i="92"/>
  <c r="I12" i="92"/>
  <c r="I11" i="92"/>
  <c r="I10" i="92"/>
  <c r="I9" i="92"/>
  <c r="I8" i="92"/>
  <c r="I7" i="92"/>
  <c r="I6" i="92"/>
  <c r="I5" i="92"/>
  <c r="I4" i="92"/>
  <c r="I3" i="92"/>
  <c r="I2" i="92"/>
  <c r="H2" i="92"/>
  <c r="I37" i="91"/>
  <c r="I36" i="91"/>
  <c r="I35" i="91"/>
  <c r="I34" i="91"/>
  <c r="I33" i="91"/>
  <c r="I32" i="91"/>
  <c r="I31" i="91"/>
  <c r="I30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I16" i="91"/>
  <c r="I15" i="91"/>
  <c r="I14" i="91"/>
  <c r="I13" i="91"/>
  <c r="I12" i="91"/>
  <c r="I11" i="91"/>
  <c r="I10" i="91"/>
  <c r="I9" i="91"/>
  <c r="I8" i="91"/>
  <c r="I7" i="91"/>
  <c r="I6" i="91"/>
  <c r="I5" i="91"/>
  <c r="I4" i="91"/>
  <c r="I3" i="91"/>
  <c r="I2" i="91"/>
  <c r="H2" i="91"/>
  <c r="I37" i="90"/>
  <c r="I36" i="90"/>
  <c r="I35" i="90"/>
  <c r="I34" i="90"/>
  <c r="I33" i="90"/>
  <c r="I32" i="90"/>
  <c r="I31" i="90"/>
  <c r="I30" i="90"/>
  <c r="I29" i="90"/>
  <c r="I28" i="90"/>
  <c r="I27" i="90"/>
  <c r="I26" i="90"/>
  <c r="I25" i="90"/>
  <c r="I24" i="90"/>
  <c r="I23" i="90"/>
  <c r="I22" i="90"/>
  <c r="I21" i="90"/>
  <c r="I20" i="90"/>
  <c r="I19" i="90"/>
  <c r="I18" i="90"/>
  <c r="I17" i="90"/>
  <c r="I16" i="90"/>
  <c r="I15" i="90"/>
  <c r="I14" i="90"/>
  <c r="I13" i="90"/>
  <c r="I12" i="90"/>
  <c r="I11" i="90"/>
  <c r="I10" i="90"/>
  <c r="I9" i="90"/>
  <c r="I8" i="90"/>
  <c r="I7" i="90"/>
  <c r="I6" i="90"/>
  <c r="I5" i="90"/>
  <c r="I4" i="90"/>
  <c r="I3" i="90"/>
  <c r="I2" i="90"/>
  <c r="H2" i="90"/>
  <c r="I37" i="89"/>
  <c r="I36" i="89"/>
  <c r="I35" i="89"/>
  <c r="I34" i="89"/>
  <c r="I33" i="89"/>
  <c r="I32" i="89"/>
  <c r="I31" i="89"/>
  <c r="I30" i="89"/>
  <c r="I29" i="89"/>
  <c r="I28" i="89"/>
  <c r="I27" i="89"/>
  <c r="I26" i="89"/>
  <c r="I25" i="89"/>
  <c r="I24" i="89"/>
  <c r="I23" i="89"/>
  <c r="I22" i="89"/>
  <c r="I21" i="89"/>
  <c r="I20" i="89"/>
  <c r="I19" i="89"/>
  <c r="I18" i="89"/>
  <c r="I17" i="89"/>
  <c r="I16" i="89"/>
  <c r="I15" i="89"/>
  <c r="I14" i="89"/>
  <c r="I13" i="89"/>
  <c r="I12" i="89"/>
  <c r="I11" i="89"/>
  <c r="I10" i="89"/>
  <c r="I9" i="89"/>
  <c r="I8" i="89"/>
  <c r="I7" i="89"/>
  <c r="I6" i="89"/>
  <c r="I5" i="89"/>
  <c r="I4" i="89"/>
  <c r="I3" i="89"/>
  <c r="I2" i="89"/>
  <c r="H2" i="89"/>
  <c r="I37" i="88"/>
  <c r="I36" i="88"/>
  <c r="I35" i="88"/>
  <c r="I34" i="88"/>
  <c r="I33" i="88"/>
  <c r="I32" i="88"/>
  <c r="I31" i="88"/>
  <c r="I30" i="88"/>
  <c r="I29" i="88"/>
  <c r="I28" i="88"/>
  <c r="I27" i="88"/>
  <c r="I26" i="88"/>
  <c r="I25" i="88"/>
  <c r="I24" i="88"/>
  <c r="I23" i="88"/>
  <c r="I22" i="88"/>
  <c r="I21" i="88"/>
  <c r="I20" i="88"/>
  <c r="I19" i="88"/>
  <c r="I18" i="88"/>
  <c r="I17" i="88"/>
  <c r="I16" i="88"/>
  <c r="I15" i="88"/>
  <c r="I14" i="88"/>
  <c r="I13" i="88"/>
  <c r="I12" i="88"/>
  <c r="I11" i="88"/>
  <c r="I10" i="88"/>
  <c r="I9" i="88"/>
  <c r="I8" i="88"/>
  <c r="I7" i="88"/>
  <c r="I6" i="88"/>
  <c r="I5" i="88"/>
  <c r="I4" i="88"/>
  <c r="I3" i="88"/>
  <c r="I2" i="88"/>
  <c r="H2" i="88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I4" i="87"/>
  <c r="I3" i="87"/>
  <c r="J2" i="87" s="1"/>
  <c r="I2" i="87"/>
  <c r="H2" i="87"/>
  <c r="I37" i="86"/>
  <c r="I36" i="86"/>
  <c r="I35" i="86"/>
  <c r="I34" i="86"/>
  <c r="I33" i="86"/>
  <c r="I32" i="86"/>
  <c r="I31" i="86"/>
  <c r="I30" i="86"/>
  <c r="I29" i="86"/>
  <c r="I28" i="86"/>
  <c r="I27" i="86"/>
  <c r="I26" i="86"/>
  <c r="I25" i="86"/>
  <c r="I24" i="86"/>
  <c r="I23" i="86"/>
  <c r="I22" i="86"/>
  <c r="I21" i="86"/>
  <c r="I20" i="86"/>
  <c r="I19" i="86"/>
  <c r="I18" i="86"/>
  <c r="I17" i="86"/>
  <c r="I16" i="86"/>
  <c r="I15" i="86"/>
  <c r="I14" i="86"/>
  <c r="I13" i="86"/>
  <c r="I12" i="86"/>
  <c r="I11" i="86"/>
  <c r="I10" i="86"/>
  <c r="I9" i="86"/>
  <c r="I8" i="86"/>
  <c r="I7" i="86"/>
  <c r="I6" i="86"/>
  <c r="I5" i="86"/>
  <c r="I4" i="86"/>
  <c r="I3" i="86"/>
  <c r="J2" i="86"/>
  <c r="I2" i="86"/>
  <c r="H2" i="86"/>
  <c r="I37" i="85"/>
  <c r="I36" i="85"/>
  <c r="I35" i="85"/>
  <c r="I34" i="85"/>
  <c r="I33" i="85"/>
  <c r="I32" i="85"/>
  <c r="I31" i="85"/>
  <c r="I30" i="85"/>
  <c r="I29" i="85"/>
  <c r="I28" i="85"/>
  <c r="I27" i="85"/>
  <c r="I26" i="85"/>
  <c r="I25" i="85"/>
  <c r="I24" i="85"/>
  <c r="I23" i="85"/>
  <c r="I22" i="85"/>
  <c r="I21" i="85"/>
  <c r="I20" i="85"/>
  <c r="I19" i="85"/>
  <c r="I18" i="85"/>
  <c r="I17" i="85"/>
  <c r="I16" i="85"/>
  <c r="I15" i="85"/>
  <c r="I14" i="85"/>
  <c r="I13" i="85"/>
  <c r="I12" i="85"/>
  <c r="I11" i="85"/>
  <c r="I10" i="85"/>
  <c r="I9" i="85"/>
  <c r="I8" i="85"/>
  <c r="I7" i="85"/>
  <c r="I6" i="85"/>
  <c r="I5" i="85"/>
  <c r="I4" i="85"/>
  <c r="I3" i="85"/>
  <c r="I2" i="85"/>
  <c r="J2" i="85" s="1"/>
  <c r="H2" i="85"/>
  <c r="I37" i="84"/>
  <c r="I36" i="84"/>
  <c r="I35" i="84"/>
  <c r="I34" i="84"/>
  <c r="I33" i="84"/>
  <c r="I32" i="84"/>
  <c r="I31" i="84"/>
  <c r="I30" i="84"/>
  <c r="I29" i="84"/>
  <c r="I28" i="84"/>
  <c r="I27" i="84"/>
  <c r="I26" i="84"/>
  <c r="I25" i="84"/>
  <c r="I24" i="84"/>
  <c r="I23" i="84"/>
  <c r="I22" i="84"/>
  <c r="I21" i="84"/>
  <c r="I20" i="84"/>
  <c r="I19" i="84"/>
  <c r="I18" i="84"/>
  <c r="I17" i="84"/>
  <c r="I16" i="84"/>
  <c r="I15" i="84"/>
  <c r="I14" i="84"/>
  <c r="I13" i="84"/>
  <c r="I12" i="84"/>
  <c r="I11" i="84"/>
  <c r="I10" i="84"/>
  <c r="I9" i="84"/>
  <c r="I8" i="84"/>
  <c r="I7" i="84"/>
  <c r="I6" i="84"/>
  <c r="I5" i="84"/>
  <c r="I4" i="84"/>
  <c r="I3" i="84"/>
  <c r="I2" i="84"/>
  <c r="J2" i="84" s="1"/>
  <c r="B69" i="1" s="1"/>
  <c r="H2" i="84"/>
  <c r="I37" i="83"/>
  <c r="I36" i="83"/>
  <c r="I35" i="83"/>
  <c r="I34" i="83"/>
  <c r="I33" i="83"/>
  <c r="I32" i="83"/>
  <c r="I31" i="83"/>
  <c r="I30" i="83"/>
  <c r="I29" i="83"/>
  <c r="I28" i="83"/>
  <c r="I27" i="83"/>
  <c r="I26" i="83"/>
  <c r="I25" i="83"/>
  <c r="I24" i="83"/>
  <c r="I23" i="83"/>
  <c r="I22" i="83"/>
  <c r="I21" i="83"/>
  <c r="I20" i="83"/>
  <c r="I19" i="83"/>
  <c r="I18" i="83"/>
  <c r="I17" i="83"/>
  <c r="I16" i="83"/>
  <c r="I15" i="83"/>
  <c r="I14" i="83"/>
  <c r="I13" i="83"/>
  <c r="I12" i="83"/>
  <c r="I11" i="83"/>
  <c r="I10" i="83"/>
  <c r="I9" i="83"/>
  <c r="I8" i="83"/>
  <c r="I7" i="83"/>
  <c r="I6" i="83"/>
  <c r="I5" i="83"/>
  <c r="I4" i="83"/>
  <c r="I3" i="83"/>
  <c r="I2" i="83"/>
  <c r="J2" i="83" s="1"/>
  <c r="H2" i="83"/>
  <c r="J2" i="88" l="1"/>
  <c r="J2" i="91"/>
  <c r="J2" i="89"/>
  <c r="J2" i="90"/>
  <c r="J2" i="95"/>
  <c r="J2" i="97"/>
  <c r="B66" i="1" s="1"/>
  <c r="J2" i="92"/>
  <c r="I108" i="7"/>
  <c r="I107" i="7"/>
  <c r="I70" i="24" l="1"/>
  <c r="I106" i="7" l="1"/>
  <c r="I105" i="7" l="1"/>
  <c r="I104" i="7"/>
  <c r="I69" i="24" l="1"/>
  <c r="I103" i="7" l="1"/>
  <c r="I68" i="24" l="1"/>
  <c r="I67" i="24" l="1"/>
  <c r="I102" i="7" l="1"/>
  <c r="I66" i="24" l="1"/>
  <c r="I101" i="7" l="1"/>
  <c r="I100" i="7" l="1"/>
  <c r="I65" i="24" l="1"/>
  <c r="I64" i="24" l="1"/>
  <c r="I70" i="19" l="1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99" i="7" l="1"/>
  <c r="I63" i="24" l="1"/>
  <c r="I98" i="7" l="1"/>
  <c r="I97" i="7" l="1"/>
  <c r="I62" i="24" l="1"/>
  <c r="I61" i="24"/>
  <c r="I96" i="7" l="1"/>
  <c r="I95" i="7" l="1"/>
  <c r="I69" i="19" l="1"/>
  <c r="I68" i="19" l="1"/>
  <c r="I94" i="7" l="1"/>
  <c r="I93" i="7" l="1"/>
  <c r="I67" i="19" l="1"/>
  <c r="I66" i="19"/>
  <c r="I92" i="7" l="1"/>
  <c r="I60" i="24" l="1"/>
  <c r="I59" i="24" l="1"/>
  <c r="I58" i="24" l="1"/>
  <c r="I57" i="24" l="1"/>
  <c r="I91" i="7" l="1"/>
  <c r="I90" i="7"/>
  <c r="I36" i="82" l="1"/>
  <c r="I35" i="82"/>
  <c r="I34" i="82"/>
  <c r="I33" i="82"/>
  <c r="I32" i="82"/>
  <c r="I31" i="82"/>
  <c r="I30" i="82"/>
  <c r="I29" i="82"/>
  <c r="I28" i="82"/>
  <c r="I27" i="82"/>
  <c r="I26" i="82"/>
  <c r="I25" i="82"/>
  <c r="I24" i="82"/>
  <c r="I23" i="82"/>
  <c r="I22" i="82"/>
  <c r="I21" i="82"/>
  <c r="I20" i="82"/>
  <c r="I19" i="82"/>
  <c r="I18" i="82"/>
  <c r="I17" i="82"/>
  <c r="I16" i="82"/>
  <c r="I15" i="82"/>
  <c r="I14" i="82"/>
  <c r="I13" i="82"/>
  <c r="I12" i="82"/>
  <c r="I11" i="82"/>
  <c r="I10" i="82"/>
  <c r="I9" i="82"/>
  <c r="I8" i="82"/>
  <c r="I7" i="82"/>
  <c r="I6" i="82"/>
  <c r="I5" i="82"/>
  <c r="I4" i="82"/>
  <c r="I3" i="82"/>
  <c r="I2" i="82"/>
  <c r="H2" i="82"/>
  <c r="J2" i="82" l="1"/>
  <c r="I65" i="19"/>
  <c r="I64" i="19"/>
  <c r="I89" i="7" l="1"/>
  <c r="I88" i="7"/>
  <c r="I63" i="19" l="1"/>
  <c r="I62" i="19"/>
  <c r="I56" i="24" l="1"/>
  <c r="I55" i="24" l="1"/>
  <c r="I54" i="24" l="1"/>
  <c r="I87" i="7" l="1"/>
  <c r="I86" i="7" l="1"/>
  <c r="I61" i="19" l="1"/>
  <c r="I85" i="7" l="1"/>
  <c r="I84" i="7" l="1"/>
  <c r="I83" i="7" l="1"/>
  <c r="I82" i="7"/>
  <c r="I60" i="19" l="1"/>
  <c r="I59" i="19" l="1"/>
  <c r="I81" i="7" l="1"/>
  <c r="I80" i="7" l="1"/>
  <c r="I79" i="7" l="1"/>
  <c r="B47" i="1" l="1"/>
  <c r="B4" i="1"/>
  <c r="B12" i="1"/>
  <c r="I37" i="79"/>
  <c r="I36" i="79"/>
  <c r="I35" i="79"/>
  <c r="I34" i="79"/>
  <c r="I33" i="79"/>
  <c r="I32" i="79"/>
  <c r="I31" i="79"/>
  <c r="I30" i="79"/>
  <c r="I29" i="79"/>
  <c r="I28" i="79"/>
  <c r="I27" i="79"/>
  <c r="I26" i="79"/>
  <c r="I25" i="79"/>
  <c r="I24" i="79"/>
  <c r="I23" i="79"/>
  <c r="I22" i="79"/>
  <c r="I21" i="79"/>
  <c r="I20" i="79"/>
  <c r="I19" i="79"/>
  <c r="I18" i="79"/>
  <c r="I17" i="79"/>
  <c r="I16" i="79"/>
  <c r="I15" i="79"/>
  <c r="I14" i="79"/>
  <c r="I13" i="79"/>
  <c r="I12" i="79"/>
  <c r="I11" i="79"/>
  <c r="I10" i="79"/>
  <c r="I9" i="79"/>
  <c r="I8" i="79"/>
  <c r="I7" i="79"/>
  <c r="I6" i="79"/>
  <c r="I5" i="79"/>
  <c r="I4" i="79"/>
  <c r="I3" i="79"/>
  <c r="J2" i="79" s="1"/>
  <c r="B13" i="1" s="1"/>
  <c r="I2" i="79"/>
  <c r="H2" i="79"/>
  <c r="I37" i="80"/>
  <c r="I36" i="80"/>
  <c r="I35" i="80"/>
  <c r="I34" i="80"/>
  <c r="I33" i="80"/>
  <c r="I32" i="80"/>
  <c r="I31" i="80"/>
  <c r="I30" i="80"/>
  <c r="I29" i="80"/>
  <c r="I28" i="80"/>
  <c r="I27" i="80"/>
  <c r="I26" i="80"/>
  <c r="I25" i="80"/>
  <c r="I24" i="80"/>
  <c r="I23" i="80"/>
  <c r="I22" i="80"/>
  <c r="I21" i="80"/>
  <c r="I20" i="80"/>
  <c r="I19" i="80"/>
  <c r="I18" i="80"/>
  <c r="I17" i="80"/>
  <c r="I16" i="80"/>
  <c r="I15" i="80"/>
  <c r="I14" i="80"/>
  <c r="I13" i="80"/>
  <c r="I12" i="80"/>
  <c r="I11" i="80"/>
  <c r="I10" i="80"/>
  <c r="I9" i="80"/>
  <c r="I8" i="80"/>
  <c r="I7" i="80"/>
  <c r="I6" i="80"/>
  <c r="I5" i="80"/>
  <c r="I4" i="80"/>
  <c r="I3" i="80"/>
  <c r="I2" i="80"/>
  <c r="J2" i="80" s="1"/>
  <c r="H2" i="80"/>
  <c r="I37" i="81"/>
  <c r="I36" i="81"/>
  <c r="I35" i="81"/>
  <c r="I34" i="81"/>
  <c r="I33" i="81"/>
  <c r="I32" i="81"/>
  <c r="I31" i="81"/>
  <c r="I30" i="81"/>
  <c r="I29" i="81"/>
  <c r="I28" i="81"/>
  <c r="I27" i="81"/>
  <c r="I26" i="81"/>
  <c r="I25" i="81"/>
  <c r="I24" i="81"/>
  <c r="I23" i="81"/>
  <c r="I22" i="81"/>
  <c r="I21" i="81"/>
  <c r="I20" i="81"/>
  <c r="I19" i="81"/>
  <c r="I18" i="81"/>
  <c r="I17" i="81"/>
  <c r="I16" i="81"/>
  <c r="I15" i="81"/>
  <c r="I14" i="81"/>
  <c r="I13" i="81"/>
  <c r="I12" i="81"/>
  <c r="I11" i="81"/>
  <c r="I10" i="81"/>
  <c r="I9" i="81"/>
  <c r="I8" i="81"/>
  <c r="I7" i="81"/>
  <c r="I6" i="81"/>
  <c r="I5" i="81"/>
  <c r="I4" i="81"/>
  <c r="I3" i="81"/>
  <c r="J2" i="81"/>
  <c r="B35" i="1" s="1"/>
  <c r="I2" i="81"/>
  <c r="H2" i="81"/>
  <c r="I3" i="75"/>
  <c r="I4" i="75"/>
  <c r="I5" i="75"/>
  <c r="I6" i="75"/>
  <c r="I7" i="75"/>
  <c r="I8" i="75"/>
  <c r="I9" i="75"/>
  <c r="I10" i="75"/>
  <c r="I11" i="75"/>
  <c r="I37" i="78"/>
  <c r="I36" i="78"/>
  <c r="I35" i="78"/>
  <c r="I34" i="78"/>
  <c r="I33" i="78"/>
  <c r="I32" i="78"/>
  <c r="I31" i="78"/>
  <c r="I30" i="78"/>
  <c r="I29" i="78"/>
  <c r="I28" i="78"/>
  <c r="I27" i="78"/>
  <c r="I26" i="78"/>
  <c r="I25" i="78"/>
  <c r="I24" i="78"/>
  <c r="I23" i="78"/>
  <c r="I22" i="78"/>
  <c r="I21" i="78"/>
  <c r="I20" i="78"/>
  <c r="I19" i="78"/>
  <c r="I18" i="78"/>
  <c r="I17" i="78"/>
  <c r="I16" i="78"/>
  <c r="I15" i="78"/>
  <c r="I14" i="78"/>
  <c r="I13" i="78"/>
  <c r="I12" i="78"/>
  <c r="I11" i="78"/>
  <c r="I10" i="78"/>
  <c r="I9" i="78"/>
  <c r="I8" i="78"/>
  <c r="I7" i="78"/>
  <c r="I6" i="78"/>
  <c r="I5" i="78"/>
  <c r="I4" i="78"/>
  <c r="I3" i="78"/>
  <c r="I2" i="78"/>
  <c r="J2" i="78" s="1"/>
  <c r="B33" i="1" s="1"/>
  <c r="H2" i="78"/>
  <c r="I36" i="77"/>
  <c r="I35" i="77"/>
  <c r="I34" i="77"/>
  <c r="I33" i="77"/>
  <c r="I32" i="77"/>
  <c r="I31" i="77"/>
  <c r="I30" i="77"/>
  <c r="I29" i="77"/>
  <c r="I28" i="77"/>
  <c r="I27" i="77"/>
  <c r="I26" i="77"/>
  <c r="I25" i="77"/>
  <c r="I24" i="77"/>
  <c r="I23" i="77"/>
  <c r="I22" i="77"/>
  <c r="I21" i="77"/>
  <c r="I20" i="77"/>
  <c r="I19" i="77"/>
  <c r="I18" i="77"/>
  <c r="I17" i="77"/>
  <c r="I16" i="77"/>
  <c r="I15" i="77"/>
  <c r="I14" i="77"/>
  <c r="I13" i="77"/>
  <c r="I12" i="77"/>
  <c r="I11" i="77"/>
  <c r="I10" i="77"/>
  <c r="I9" i="77"/>
  <c r="I8" i="77"/>
  <c r="I7" i="77"/>
  <c r="I6" i="77"/>
  <c r="I5" i="77"/>
  <c r="I4" i="77"/>
  <c r="I3" i="77"/>
  <c r="I2" i="77"/>
  <c r="H2" i="77"/>
  <c r="I37" i="76"/>
  <c r="I36" i="76"/>
  <c r="I35" i="76"/>
  <c r="I34" i="76"/>
  <c r="I33" i="76"/>
  <c r="I32" i="76"/>
  <c r="I31" i="76"/>
  <c r="I30" i="76"/>
  <c r="I29" i="76"/>
  <c r="I28" i="76"/>
  <c r="I27" i="76"/>
  <c r="I26" i="76"/>
  <c r="I25" i="76"/>
  <c r="I24" i="76"/>
  <c r="I23" i="76"/>
  <c r="I22" i="76"/>
  <c r="I21" i="76"/>
  <c r="I20" i="76"/>
  <c r="I19" i="76"/>
  <c r="I18" i="76"/>
  <c r="I17" i="76"/>
  <c r="I16" i="76"/>
  <c r="I15" i="76"/>
  <c r="I14" i="76"/>
  <c r="I13" i="76"/>
  <c r="I12" i="76"/>
  <c r="I11" i="76"/>
  <c r="I10" i="76"/>
  <c r="I9" i="76"/>
  <c r="I8" i="76"/>
  <c r="I7" i="76"/>
  <c r="I6" i="76"/>
  <c r="I5" i="76"/>
  <c r="I4" i="76"/>
  <c r="I3" i="76"/>
  <c r="I2" i="76"/>
  <c r="H2" i="76"/>
  <c r="I37" i="75"/>
  <c r="I36" i="75"/>
  <c r="I35" i="75"/>
  <c r="I34" i="75"/>
  <c r="I33" i="75"/>
  <c r="I32" i="75"/>
  <c r="I31" i="75"/>
  <c r="I30" i="75"/>
  <c r="I29" i="75"/>
  <c r="I28" i="75"/>
  <c r="I27" i="75"/>
  <c r="I26" i="75"/>
  <c r="I25" i="75"/>
  <c r="I24" i="75"/>
  <c r="I23" i="75"/>
  <c r="I22" i="75"/>
  <c r="I21" i="75"/>
  <c r="I20" i="75"/>
  <c r="I19" i="75"/>
  <c r="I18" i="75"/>
  <c r="I17" i="75"/>
  <c r="I16" i="75"/>
  <c r="I15" i="75"/>
  <c r="I14" i="75"/>
  <c r="I13" i="75"/>
  <c r="I12" i="75"/>
  <c r="I2" i="75"/>
  <c r="H2" i="75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I9" i="74"/>
  <c r="I8" i="74"/>
  <c r="I7" i="74"/>
  <c r="I6" i="74"/>
  <c r="I5" i="74"/>
  <c r="I4" i="74"/>
  <c r="I3" i="74"/>
  <c r="J2" i="74"/>
  <c r="I2" i="74"/>
  <c r="H2" i="74"/>
  <c r="I37" i="73"/>
  <c r="I36" i="73"/>
  <c r="I35" i="73"/>
  <c r="I34" i="73"/>
  <c r="I33" i="73"/>
  <c r="I32" i="73"/>
  <c r="I31" i="73"/>
  <c r="I30" i="73"/>
  <c r="I29" i="73"/>
  <c r="I28" i="73"/>
  <c r="I27" i="73"/>
  <c r="I26" i="73"/>
  <c r="I25" i="73"/>
  <c r="I24" i="73"/>
  <c r="I23" i="73"/>
  <c r="I22" i="73"/>
  <c r="I21" i="73"/>
  <c r="I20" i="73"/>
  <c r="I19" i="73"/>
  <c r="I18" i="73"/>
  <c r="I17" i="73"/>
  <c r="I16" i="73"/>
  <c r="I15" i="73"/>
  <c r="I14" i="73"/>
  <c r="I13" i="73"/>
  <c r="I12" i="73"/>
  <c r="I11" i="73"/>
  <c r="I10" i="73"/>
  <c r="I9" i="73"/>
  <c r="I8" i="73"/>
  <c r="I7" i="73"/>
  <c r="I6" i="73"/>
  <c r="I5" i="73"/>
  <c r="I4" i="73"/>
  <c r="I3" i="73"/>
  <c r="J2" i="73"/>
  <c r="I2" i="73"/>
  <c r="H2" i="73"/>
  <c r="I37" i="72"/>
  <c r="I36" i="72"/>
  <c r="I35" i="72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I17" i="72"/>
  <c r="I16" i="72"/>
  <c r="I15" i="72"/>
  <c r="I14" i="72"/>
  <c r="I13" i="72"/>
  <c r="I12" i="72"/>
  <c r="I11" i="72"/>
  <c r="I10" i="72"/>
  <c r="I9" i="72"/>
  <c r="I8" i="72"/>
  <c r="I7" i="72"/>
  <c r="I6" i="72"/>
  <c r="I5" i="72"/>
  <c r="I4" i="72"/>
  <c r="I3" i="72"/>
  <c r="I2" i="72"/>
  <c r="H2" i="72"/>
  <c r="I37" i="71"/>
  <c r="I36" i="71"/>
  <c r="I35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I8" i="71"/>
  <c r="I7" i="71"/>
  <c r="I6" i="71"/>
  <c r="I5" i="71"/>
  <c r="I4" i="71"/>
  <c r="I3" i="71"/>
  <c r="I2" i="71"/>
  <c r="J2" i="71" s="1"/>
  <c r="B18" i="1" s="1"/>
  <c r="H2" i="71"/>
  <c r="I37" i="58"/>
  <c r="I36" i="58"/>
  <c r="I35" i="58"/>
  <c r="I34" i="58"/>
  <c r="I33" i="58"/>
  <c r="I32" i="58"/>
  <c r="I31" i="58"/>
  <c r="I30" i="58"/>
  <c r="I29" i="58"/>
  <c r="I28" i="58"/>
  <c r="I27" i="58"/>
  <c r="I26" i="58"/>
  <c r="I25" i="58"/>
  <c r="I24" i="58"/>
  <c r="I23" i="58"/>
  <c r="I22" i="58"/>
  <c r="I21" i="58"/>
  <c r="I20" i="58"/>
  <c r="I19" i="58"/>
  <c r="I18" i="58"/>
  <c r="I17" i="58"/>
  <c r="I16" i="58"/>
  <c r="I15" i="58"/>
  <c r="I14" i="58"/>
  <c r="I13" i="58"/>
  <c r="I12" i="58"/>
  <c r="I11" i="58"/>
  <c r="I10" i="58"/>
  <c r="I9" i="58"/>
  <c r="I8" i="58"/>
  <c r="I7" i="58"/>
  <c r="I6" i="58"/>
  <c r="I5" i="58"/>
  <c r="I4" i="58"/>
  <c r="I3" i="58"/>
  <c r="I2" i="58"/>
  <c r="H2" i="58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I5" i="57"/>
  <c r="I4" i="57"/>
  <c r="I3" i="57"/>
  <c r="I2" i="57"/>
  <c r="H2" i="57"/>
  <c r="I37" i="56"/>
  <c r="I36" i="56"/>
  <c r="I35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I20" i="56"/>
  <c r="I19" i="56"/>
  <c r="I18" i="56"/>
  <c r="I17" i="56"/>
  <c r="I16" i="56"/>
  <c r="I15" i="56"/>
  <c r="I14" i="56"/>
  <c r="I13" i="56"/>
  <c r="I12" i="56"/>
  <c r="I11" i="56"/>
  <c r="I10" i="56"/>
  <c r="I9" i="56"/>
  <c r="I8" i="56"/>
  <c r="I7" i="56"/>
  <c r="I6" i="56"/>
  <c r="I5" i="56"/>
  <c r="I4" i="56"/>
  <c r="I3" i="56"/>
  <c r="I2" i="56"/>
  <c r="H2" i="56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21" i="55"/>
  <c r="I20" i="55"/>
  <c r="I19" i="55"/>
  <c r="I18" i="55"/>
  <c r="I17" i="55"/>
  <c r="I16" i="55"/>
  <c r="I15" i="55"/>
  <c r="I14" i="55"/>
  <c r="I13" i="55"/>
  <c r="I12" i="55"/>
  <c r="I11" i="55"/>
  <c r="I10" i="55"/>
  <c r="I9" i="55"/>
  <c r="I8" i="55"/>
  <c r="I7" i="55"/>
  <c r="I6" i="55"/>
  <c r="I5" i="55"/>
  <c r="I4" i="55"/>
  <c r="I3" i="55"/>
  <c r="I2" i="55"/>
  <c r="H2" i="55"/>
  <c r="I37" i="54"/>
  <c r="I36" i="54"/>
  <c r="I35" i="54"/>
  <c r="I34" i="54"/>
  <c r="I33" i="54"/>
  <c r="I32" i="54"/>
  <c r="I31" i="54"/>
  <c r="I30" i="54"/>
  <c r="I29" i="54"/>
  <c r="I28" i="54"/>
  <c r="I27" i="54"/>
  <c r="I26" i="54"/>
  <c r="I25" i="54"/>
  <c r="I24" i="54"/>
  <c r="I23" i="54"/>
  <c r="I22" i="54"/>
  <c r="I21" i="54"/>
  <c r="I20" i="54"/>
  <c r="I19" i="54"/>
  <c r="I18" i="54"/>
  <c r="I17" i="54"/>
  <c r="I16" i="54"/>
  <c r="I15" i="54"/>
  <c r="I14" i="54"/>
  <c r="I13" i="54"/>
  <c r="I12" i="54"/>
  <c r="I11" i="54"/>
  <c r="I10" i="54"/>
  <c r="I9" i="54"/>
  <c r="I8" i="54"/>
  <c r="I7" i="54"/>
  <c r="I6" i="54"/>
  <c r="I5" i="54"/>
  <c r="I4" i="54"/>
  <c r="I3" i="54"/>
  <c r="I2" i="54"/>
  <c r="H2" i="54"/>
  <c r="I37" i="53"/>
  <c r="I36" i="53"/>
  <c r="I35" i="53"/>
  <c r="I34" i="53"/>
  <c r="I33" i="53"/>
  <c r="I32" i="53"/>
  <c r="I31" i="53"/>
  <c r="I30" i="53"/>
  <c r="I29" i="53"/>
  <c r="I28" i="53"/>
  <c r="I27" i="53"/>
  <c r="I26" i="53"/>
  <c r="I25" i="53"/>
  <c r="I24" i="53"/>
  <c r="I23" i="53"/>
  <c r="I22" i="53"/>
  <c r="I21" i="53"/>
  <c r="I20" i="53"/>
  <c r="I19" i="53"/>
  <c r="I18" i="53"/>
  <c r="I17" i="53"/>
  <c r="I16" i="53"/>
  <c r="I15" i="53"/>
  <c r="I14" i="53"/>
  <c r="I13" i="53"/>
  <c r="I12" i="53"/>
  <c r="I11" i="53"/>
  <c r="I10" i="53"/>
  <c r="I9" i="53"/>
  <c r="I8" i="53"/>
  <c r="I7" i="53"/>
  <c r="I6" i="53"/>
  <c r="I5" i="53"/>
  <c r="I4" i="53"/>
  <c r="I3" i="53"/>
  <c r="I2" i="53"/>
  <c r="H2" i="53"/>
  <c r="I37" i="52"/>
  <c r="I36" i="52"/>
  <c r="I35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I18" i="52"/>
  <c r="I17" i="52"/>
  <c r="I16" i="52"/>
  <c r="I15" i="52"/>
  <c r="I14" i="52"/>
  <c r="I13" i="52"/>
  <c r="I12" i="52"/>
  <c r="I11" i="52"/>
  <c r="I10" i="52"/>
  <c r="I9" i="52"/>
  <c r="I8" i="52"/>
  <c r="I7" i="52"/>
  <c r="I6" i="52"/>
  <c r="I5" i="52"/>
  <c r="I4" i="52"/>
  <c r="I3" i="52"/>
  <c r="J2" i="52" s="1"/>
  <c r="B28" i="1" s="1"/>
  <c r="I2" i="52"/>
  <c r="H2" i="52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I18" i="51"/>
  <c r="I17" i="51"/>
  <c r="I16" i="51"/>
  <c r="I15" i="51"/>
  <c r="I14" i="51"/>
  <c r="I13" i="51"/>
  <c r="I12" i="51"/>
  <c r="I11" i="51"/>
  <c r="I10" i="51"/>
  <c r="I9" i="51"/>
  <c r="I8" i="51"/>
  <c r="I7" i="51"/>
  <c r="I6" i="51"/>
  <c r="I5" i="51"/>
  <c r="I4" i="51"/>
  <c r="I3" i="51"/>
  <c r="J2" i="51" s="1"/>
  <c r="B51" i="1" s="1"/>
  <c r="I2" i="51"/>
  <c r="H2" i="51"/>
  <c r="I37" i="50"/>
  <c r="I36" i="50"/>
  <c r="I35" i="50"/>
  <c r="I34" i="50"/>
  <c r="I33" i="50"/>
  <c r="I32" i="50"/>
  <c r="I31" i="50"/>
  <c r="I30" i="50"/>
  <c r="I29" i="50"/>
  <c r="I28" i="50"/>
  <c r="I27" i="50"/>
  <c r="I26" i="50"/>
  <c r="I25" i="50"/>
  <c r="I24" i="50"/>
  <c r="I23" i="50"/>
  <c r="I22" i="50"/>
  <c r="I21" i="50"/>
  <c r="I20" i="50"/>
  <c r="I19" i="50"/>
  <c r="I18" i="50"/>
  <c r="I17" i="50"/>
  <c r="I16" i="50"/>
  <c r="I15" i="50"/>
  <c r="I14" i="50"/>
  <c r="I13" i="50"/>
  <c r="I12" i="50"/>
  <c r="I11" i="50"/>
  <c r="I10" i="50"/>
  <c r="I9" i="50"/>
  <c r="I8" i="50"/>
  <c r="I7" i="50"/>
  <c r="I6" i="50"/>
  <c r="I5" i="50"/>
  <c r="I4" i="50"/>
  <c r="I3" i="50"/>
  <c r="I2" i="50"/>
  <c r="H2" i="50"/>
  <c r="J2" i="72" l="1"/>
  <c r="B19" i="1" s="1"/>
  <c r="J2" i="53"/>
  <c r="B17" i="1" s="1"/>
  <c r="J2" i="55"/>
  <c r="J2" i="56"/>
  <c r="B46" i="1" s="1"/>
  <c r="J2" i="57"/>
  <c r="B45" i="1" s="1"/>
  <c r="J2" i="77"/>
  <c r="B24" i="1" s="1"/>
  <c r="J2" i="54"/>
  <c r="B5" i="1" s="1"/>
  <c r="J2" i="50"/>
  <c r="B38" i="1" s="1"/>
  <c r="J2" i="75"/>
  <c r="B23" i="1" s="1"/>
  <c r="J2" i="58"/>
  <c r="B30" i="1" s="1"/>
  <c r="I58" i="19"/>
  <c r="I78" i="7" l="1"/>
  <c r="I57" i="19" l="1"/>
  <c r="I56" i="19" l="1"/>
  <c r="I55" i="19" l="1"/>
  <c r="I77" i="7" l="1"/>
  <c r="I76" i="7" l="1"/>
  <c r="I75" i="7" l="1"/>
  <c r="I73" i="7" l="1"/>
  <c r="I54" i="19" l="1"/>
  <c r="I53" i="19" l="1"/>
  <c r="I52" i="19" l="1"/>
  <c r="I51" i="19" l="1"/>
  <c r="I72" i="7" l="1"/>
  <c r="I71" i="7" l="1"/>
  <c r="I70" i="7" l="1"/>
  <c r="I50" i="19" l="1"/>
  <c r="I49" i="19"/>
  <c r="I69" i="7"/>
  <c r="I68" i="7"/>
  <c r="I67" i="7"/>
  <c r="I48" i="19"/>
  <c r="I66" i="7"/>
  <c r="I65" i="7"/>
  <c r="I64" i="7"/>
  <c r="I47" i="19"/>
  <c r="I63" i="7"/>
  <c r="I46" i="19"/>
  <c r="I62" i="7"/>
  <c r="I51" i="7"/>
  <c r="I52" i="7"/>
  <c r="I53" i="7"/>
  <c r="I54" i="7"/>
  <c r="I55" i="7"/>
  <c r="I56" i="7"/>
  <c r="I57" i="7"/>
  <c r="I58" i="7"/>
  <c r="I59" i="7"/>
  <c r="I60" i="7"/>
  <c r="I61" i="7"/>
  <c r="I45" i="19"/>
  <c r="I44" i="19"/>
  <c r="I43" i="19"/>
  <c r="I42" i="19"/>
  <c r="I41" i="19"/>
  <c r="H10" i="16"/>
  <c r="I40" i="19"/>
  <c r="I42" i="7"/>
  <c r="I43" i="7"/>
  <c r="I44" i="7"/>
  <c r="I45" i="7"/>
  <c r="I46" i="7"/>
  <c r="I47" i="7"/>
  <c r="I48" i="7"/>
  <c r="I49" i="7"/>
  <c r="I50" i="7"/>
  <c r="H37" i="19"/>
  <c r="H36" i="19"/>
  <c r="H35" i="19"/>
  <c r="H27" i="6"/>
  <c r="H34" i="19"/>
  <c r="H33" i="19"/>
  <c r="I41" i="7"/>
  <c r="H32" i="19"/>
  <c r="H31" i="19"/>
  <c r="H30" i="19"/>
  <c r="H29" i="19"/>
  <c r="H28" i="19"/>
  <c r="H27" i="19"/>
  <c r="H26" i="19" l="1"/>
  <c r="H2" i="49"/>
  <c r="I37" i="49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I6" i="49"/>
  <c r="I5" i="49"/>
  <c r="I4" i="49"/>
  <c r="I3" i="49"/>
  <c r="I2" i="49"/>
  <c r="I20" i="19"/>
  <c r="I10" i="35"/>
  <c r="I9" i="35"/>
  <c r="H22" i="18"/>
  <c r="H21" i="18"/>
  <c r="I36" i="48"/>
  <c r="I35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I17" i="48"/>
  <c r="I16" i="48"/>
  <c r="I15" i="48"/>
  <c r="I14" i="48"/>
  <c r="I13" i="48"/>
  <c r="I12" i="48"/>
  <c r="I11" i="48"/>
  <c r="I10" i="48"/>
  <c r="I9" i="48"/>
  <c r="I8" i="48"/>
  <c r="I7" i="48"/>
  <c r="I6" i="48"/>
  <c r="I5" i="48"/>
  <c r="I4" i="48"/>
  <c r="I3" i="48"/>
  <c r="I2" i="48"/>
  <c r="H2" i="48"/>
  <c r="J2" i="49" l="1"/>
  <c r="J2" i="48"/>
  <c r="H20" i="18"/>
  <c r="H19" i="18"/>
  <c r="I3" i="47"/>
  <c r="I2" i="47"/>
  <c r="I37" i="47"/>
  <c r="I36" i="47"/>
  <c r="I35" i="47"/>
  <c r="I34" i="47"/>
  <c r="I33" i="47"/>
  <c r="I32" i="47"/>
  <c r="I31" i="47"/>
  <c r="I30" i="47"/>
  <c r="I29" i="47"/>
  <c r="I28" i="47"/>
  <c r="I27" i="47"/>
  <c r="I26" i="47"/>
  <c r="I25" i="47"/>
  <c r="I24" i="47"/>
  <c r="I23" i="47"/>
  <c r="I22" i="47"/>
  <c r="I21" i="47"/>
  <c r="I20" i="47"/>
  <c r="I19" i="47"/>
  <c r="I18" i="47"/>
  <c r="I17" i="47"/>
  <c r="I16" i="47"/>
  <c r="I15" i="47"/>
  <c r="I14" i="47"/>
  <c r="I13" i="47"/>
  <c r="I12" i="47"/>
  <c r="I11" i="47"/>
  <c r="I10" i="47"/>
  <c r="I9" i="47"/>
  <c r="I8" i="47"/>
  <c r="I7" i="47"/>
  <c r="I6" i="47"/>
  <c r="I5" i="47"/>
  <c r="H2" i="47"/>
  <c r="I2" i="46"/>
  <c r="I37" i="46"/>
  <c r="I36" i="46"/>
  <c r="I35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4" i="46"/>
  <c r="J2" i="46" s="1"/>
  <c r="B20" i="1" s="1"/>
  <c r="H2" i="46"/>
  <c r="I8" i="18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I4" i="45"/>
  <c r="I3" i="45"/>
  <c r="I2" i="45"/>
  <c r="H2" i="45"/>
  <c r="H14" i="19"/>
  <c r="H15" i="19"/>
  <c r="H16" i="19"/>
  <c r="H17" i="19"/>
  <c r="H18" i="19"/>
  <c r="H19" i="19"/>
  <c r="H20" i="19"/>
  <c r="H21" i="19"/>
  <c r="H22" i="19"/>
  <c r="H24" i="19"/>
  <c r="H25" i="19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I10" i="44"/>
  <c r="I9" i="44"/>
  <c r="I8" i="44"/>
  <c r="I7" i="44"/>
  <c r="I6" i="44"/>
  <c r="I5" i="44"/>
  <c r="I4" i="44"/>
  <c r="I3" i="44"/>
  <c r="I2" i="44"/>
  <c r="H2" i="44"/>
  <c r="H2" i="43"/>
  <c r="H2" i="13"/>
  <c r="H2" i="24"/>
  <c r="I37" i="43"/>
  <c r="I36" i="43"/>
  <c r="I35" i="43"/>
  <c r="I34" i="43"/>
  <c r="I33" i="43"/>
  <c r="I32" i="43"/>
  <c r="I31" i="43"/>
  <c r="I30" i="43"/>
  <c r="I29" i="43"/>
  <c r="I28" i="43"/>
  <c r="I27" i="43"/>
  <c r="I26" i="43"/>
  <c r="I25" i="43"/>
  <c r="I24" i="43"/>
  <c r="I23" i="43"/>
  <c r="I22" i="43"/>
  <c r="I21" i="43"/>
  <c r="I20" i="43"/>
  <c r="I19" i="43"/>
  <c r="I18" i="43"/>
  <c r="I17" i="43"/>
  <c r="I16" i="43"/>
  <c r="I15" i="43"/>
  <c r="I14" i="43"/>
  <c r="I13" i="43"/>
  <c r="I12" i="43"/>
  <c r="I11" i="43"/>
  <c r="I10" i="43"/>
  <c r="I9" i="43"/>
  <c r="I8" i="43"/>
  <c r="I7" i="43"/>
  <c r="I6" i="43"/>
  <c r="I5" i="43"/>
  <c r="I4" i="43"/>
  <c r="I3" i="43"/>
  <c r="I2" i="43"/>
  <c r="H13" i="19"/>
  <c r="I2" i="18"/>
  <c r="I3" i="18"/>
  <c r="I4" i="18"/>
  <c r="I5" i="18"/>
  <c r="I6" i="18"/>
  <c r="I7" i="18"/>
  <c r="I9" i="18"/>
  <c r="I11" i="18"/>
  <c r="I12" i="18"/>
  <c r="I3" i="35"/>
  <c r="I4" i="35"/>
  <c r="I5" i="35"/>
  <c r="I6" i="35"/>
  <c r="I7" i="35"/>
  <c r="I8" i="35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I5" i="38"/>
  <c r="I4" i="38"/>
  <c r="I3" i="38"/>
  <c r="I2" i="38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I4" i="36"/>
  <c r="I3" i="36"/>
  <c r="I2" i="36"/>
  <c r="H2" i="36"/>
  <c r="J2" i="44" l="1"/>
  <c r="J2" i="36"/>
  <c r="B8" i="1" s="1"/>
  <c r="J2" i="45"/>
  <c r="J2" i="47"/>
  <c r="J2" i="43"/>
  <c r="J40" i="35" l="1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J6" i="35"/>
  <c r="J5" i="35"/>
  <c r="J4" i="35"/>
  <c r="J3" i="35"/>
  <c r="J2" i="35"/>
  <c r="I2" i="35"/>
  <c r="K7" i="35" l="1"/>
  <c r="H2" i="27"/>
  <c r="I40" i="34"/>
  <c r="I39" i="34"/>
  <c r="I38" i="34"/>
  <c r="I37" i="34"/>
  <c r="I36" i="34"/>
  <c r="I35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I3" i="34"/>
  <c r="I2" i="34"/>
  <c r="H2" i="3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40" i="33"/>
  <c r="I39" i="33"/>
  <c r="I38" i="33"/>
  <c r="I37" i="33"/>
  <c r="I36" i="33"/>
  <c r="I35" i="33"/>
  <c r="I34" i="33"/>
  <c r="I33" i="33"/>
  <c r="I32" i="33"/>
  <c r="I31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8" i="33"/>
  <c r="I7" i="33"/>
  <c r="I6" i="33"/>
  <c r="I5" i="33"/>
  <c r="I4" i="33"/>
  <c r="I3" i="33"/>
  <c r="J2" i="33"/>
  <c r="I2" i="33"/>
  <c r="H2" i="33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I3" i="32"/>
  <c r="I2" i="32"/>
  <c r="H2" i="32"/>
  <c r="H2" i="20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J2" i="34" l="1"/>
  <c r="B43" i="1" s="1"/>
  <c r="J2" i="32"/>
  <c r="I3" i="5"/>
  <c r="I40" i="31"/>
  <c r="I41" i="31"/>
  <c r="I42" i="31"/>
  <c r="I43" i="31"/>
  <c r="I44" i="31"/>
  <c r="I45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I3" i="31"/>
  <c r="I2" i="31"/>
  <c r="H2" i="31"/>
  <c r="H9" i="19"/>
  <c r="H10" i="19"/>
  <c r="H11" i="19"/>
  <c r="H12" i="19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3" i="30"/>
  <c r="I2" i="30"/>
  <c r="H2" i="30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I2" i="27"/>
  <c r="I9" i="2"/>
  <c r="J2" i="31" l="1"/>
  <c r="B10" i="1" s="1"/>
  <c r="J2" i="30"/>
  <c r="B48" i="1" s="1"/>
  <c r="J2" i="27"/>
  <c r="B52" i="1" s="1"/>
  <c r="I3" i="25"/>
  <c r="I2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H2" i="25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2" i="24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H2" i="23"/>
  <c r="H20" i="22"/>
  <c r="H21" i="22"/>
  <c r="H22" i="22"/>
  <c r="H23" i="22"/>
  <c r="H24" i="22"/>
  <c r="H4" i="22"/>
  <c r="H5" i="22"/>
  <c r="H6" i="22"/>
  <c r="H7" i="22"/>
  <c r="H8" i="22"/>
  <c r="H9" i="22"/>
  <c r="H10" i="22"/>
  <c r="H11" i="22"/>
  <c r="H12" i="22"/>
  <c r="H13" i="22"/>
  <c r="H14" i="22"/>
  <c r="H15" i="22"/>
  <c r="H17" i="22"/>
  <c r="H18" i="22"/>
  <c r="H19" i="22"/>
  <c r="H3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H2" i="22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J2" i="21" s="1"/>
  <c r="H2" i="21"/>
  <c r="J2" i="23" l="1"/>
  <c r="B14" i="1" s="1"/>
  <c r="J2" i="24"/>
  <c r="B2" i="1" s="1"/>
  <c r="J2" i="25"/>
  <c r="B16" i="1" s="1"/>
  <c r="J2" i="22"/>
  <c r="B41" i="1" s="1"/>
  <c r="J2" i="20"/>
  <c r="B50" i="1" s="1"/>
  <c r="H3" i="19"/>
  <c r="H4" i="19"/>
  <c r="H5" i="19"/>
  <c r="H6" i="19"/>
  <c r="H7" i="19"/>
  <c r="H8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H16" i="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H2" i="18"/>
  <c r="H3" i="17"/>
  <c r="H4" i="17"/>
  <c r="H5" i="17"/>
  <c r="H6" i="17"/>
  <c r="H7" i="17"/>
  <c r="H8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H2" i="17"/>
  <c r="J2" i="19" l="1"/>
  <c r="B34" i="1" s="1"/>
  <c r="J2" i="18"/>
  <c r="B44" i="1" s="1"/>
  <c r="J2" i="17"/>
  <c r="H3" i="16" l="1"/>
  <c r="H4" i="16"/>
  <c r="H5" i="16"/>
  <c r="H6" i="16"/>
  <c r="H7" i="16"/>
  <c r="H8" i="16"/>
  <c r="H9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H2" i="16"/>
  <c r="H12" i="8"/>
  <c r="H13" i="8"/>
  <c r="H14" i="8"/>
  <c r="H15" i="8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H2" i="15"/>
  <c r="I2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H2" i="14"/>
  <c r="H11" i="8"/>
  <c r="H10" i="8"/>
  <c r="H9" i="8"/>
  <c r="H8" i="8"/>
  <c r="J2" i="14" l="1"/>
  <c r="B37" i="1" s="1"/>
  <c r="J2" i="16"/>
  <c r="B27" i="1" s="1"/>
  <c r="J2" i="15"/>
  <c r="B32" i="1" s="1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H2" i="12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7" i="8"/>
  <c r="H3" i="8"/>
  <c r="H4" i="8"/>
  <c r="H5" i="8"/>
  <c r="H6" i="8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6" i="2"/>
  <c r="I2" i="2"/>
  <c r="H20" i="2"/>
  <c r="H21" i="2"/>
  <c r="H22" i="2"/>
  <c r="H23" i="2"/>
  <c r="H24" i="2"/>
  <c r="H25" i="2"/>
  <c r="H26" i="2"/>
  <c r="H27" i="2"/>
  <c r="H28" i="2"/>
  <c r="H4" i="2"/>
  <c r="H5" i="2"/>
  <c r="H13" i="2"/>
  <c r="H14" i="2"/>
  <c r="H15" i="2"/>
  <c r="H16" i="2"/>
  <c r="H17" i="2"/>
  <c r="H18" i="2"/>
  <c r="H19" i="2"/>
  <c r="H3" i="2"/>
  <c r="H2" i="2"/>
  <c r="H2" i="8"/>
  <c r="H2" i="6"/>
  <c r="H2" i="5"/>
  <c r="H2" i="7"/>
  <c r="H2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2" i="7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2" i="5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J2" i="7" l="1"/>
  <c r="B9" i="1" s="1"/>
  <c r="J2" i="9"/>
  <c r="B7" i="1" s="1"/>
  <c r="J2" i="13"/>
  <c r="B39" i="1" s="1"/>
  <c r="J2" i="5"/>
  <c r="B15" i="1" s="1"/>
  <c r="J2" i="12"/>
  <c r="B11" i="1" s="1"/>
  <c r="J2" i="6"/>
  <c r="B29" i="1" s="1"/>
  <c r="J2" i="8"/>
  <c r="J2" i="10"/>
  <c r="B36" i="1" s="1"/>
  <c r="J2" i="4"/>
  <c r="B25" i="1" s="1"/>
  <c r="I3" i="2" l="1"/>
  <c r="I4" i="2"/>
  <c r="I5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2" i="2"/>
  <c r="I33" i="2"/>
  <c r="I34" i="2"/>
  <c r="B6" i="1" l="1"/>
</calcChain>
</file>

<file path=xl/sharedStrings.xml><?xml version="1.0" encoding="utf-8"?>
<sst xmlns="http://schemas.openxmlformats.org/spreadsheetml/2006/main" count="5223" uniqueCount="1544">
  <si>
    <t>MONTO PENDIENTE</t>
  </si>
  <si>
    <t>FECHA</t>
  </si>
  <si>
    <t>REPUESTO</t>
  </si>
  <si>
    <t>PRECIO</t>
  </si>
  <si>
    <t>CONDICION</t>
  </si>
  <si>
    <t>FACTURA</t>
  </si>
  <si>
    <t>SELLO DE VALVULA D22</t>
  </si>
  <si>
    <t>PENDIENTE</t>
  </si>
  <si>
    <t xml:space="preserve">SILICONA LOCTITE </t>
  </si>
  <si>
    <t>VENDEDOR</t>
  </si>
  <si>
    <t>DELIS</t>
  </si>
  <si>
    <t>NO FACTURADO</t>
  </si>
  <si>
    <t>TOTAL DEUDA</t>
  </si>
  <si>
    <t>DEUDA</t>
  </si>
  <si>
    <t>CANALES JOSE LUIS (MACACO)</t>
  </si>
  <si>
    <t>COMIGUAL HUGO</t>
  </si>
  <si>
    <t>GONZALEZ NELSON</t>
  </si>
  <si>
    <t>MOTOR EXPRESS</t>
  </si>
  <si>
    <t>PEREZ SADY</t>
  </si>
  <si>
    <t>CARDENAS GABRIEL</t>
  </si>
  <si>
    <t>SALDO</t>
  </si>
  <si>
    <t>LIBRO</t>
  </si>
  <si>
    <t>NO</t>
  </si>
  <si>
    <t>JUEGO EMPAQUETADURA+EMPAQUETADURA</t>
  </si>
  <si>
    <t>SALDO CULATA</t>
  </si>
  <si>
    <t>CESAR</t>
  </si>
  <si>
    <t>PAGADO</t>
  </si>
  <si>
    <t>FACTURADO</t>
  </si>
  <si>
    <t>PRESUPUESTO 4215</t>
  </si>
  <si>
    <t>PRESUPUESTO 4217</t>
  </si>
  <si>
    <t>JUEGO TERMINALES</t>
  </si>
  <si>
    <t>JUEGO AXIALES</t>
  </si>
  <si>
    <t>JUEGO BIELETA TRAS</t>
  </si>
  <si>
    <t>JUEGO BUJE BARRA</t>
  </si>
  <si>
    <t>JUEGO BIELETA DEL</t>
  </si>
  <si>
    <t>JUEGO CORREAS</t>
  </si>
  <si>
    <t>JUEGO PASTILLAS</t>
  </si>
  <si>
    <t>JUEGO ROTULAS</t>
  </si>
  <si>
    <t>JUEGO H7</t>
  </si>
  <si>
    <t>QUEZADA RICHARD</t>
  </si>
  <si>
    <t>------</t>
  </si>
  <si>
    <t>BATERIA YARIS</t>
  </si>
  <si>
    <t>MULTIPLE ADMISION YARIS</t>
  </si>
  <si>
    <t>EMPAQUETADURA MULTIPLE YARIS</t>
  </si>
  <si>
    <t>JUEGO DE BUJIAS YARIS PATRICIO MARDONES</t>
  </si>
  <si>
    <t>PLUMILLAS</t>
  </si>
  <si>
    <t>CILINDRO EMBRAGUE</t>
  </si>
  <si>
    <t>SENSOR CIGÜEÑAL TERRANO</t>
  </si>
  <si>
    <t>2 SELLO AGUA</t>
  </si>
  <si>
    <t>MARTINEZ EDUARDO (FUSCHLOCHER)</t>
  </si>
  <si>
    <t>FILTRO Y ACEITE</t>
  </si>
  <si>
    <t>PASTILLA FRENO D22</t>
  </si>
  <si>
    <t>OMAR</t>
  </si>
  <si>
    <t>BOLETA</t>
  </si>
  <si>
    <t>CORREA</t>
  </si>
  <si>
    <t>LIQUIDO FRENO YARIS</t>
  </si>
  <si>
    <t>RADIADOR YARIS</t>
  </si>
  <si>
    <t>PARACHOQUE DEL YARIS</t>
  </si>
  <si>
    <t>2 OPTICO YARIS</t>
  </si>
  <si>
    <t>ELECTROVENTILADOR YARIS</t>
  </si>
  <si>
    <t>RODAMIENTO EMBRAGUE</t>
  </si>
  <si>
    <t>NO FACTURA</t>
  </si>
  <si>
    <t>REYES ANDRES (PIRLO)</t>
  </si>
  <si>
    <t>DELGADO PATRICIO (RAPIDO Y FUR)</t>
  </si>
  <si>
    <t>PISTOLA DE IMPACTO</t>
  </si>
  <si>
    <t>LIQUIDO FRENO</t>
  </si>
  <si>
    <t>ACEITE 10W40 ECO</t>
  </si>
  <si>
    <t>JUEGO BUJIA ECO</t>
  </si>
  <si>
    <t>BOBINA DE ALTA</t>
  </si>
  <si>
    <t xml:space="preserve">ROST OFF </t>
  </si>
  <si>
    <t>LIQUIDO DE FRENO</t>
  </si>
  <si>
    <t>CORREA ACCESORIO ECO</t>
  </si>
  <si>
    <t>FILTRO AIRE ECO</t>
  </si>
  <si>
    <t>BOMBA ACEITE LUV</t>
  </si>
  <si>
    <t>2 BUJES</t>
  </si>
  <si>
    <t>JUEGO EMPAQUETADURA MOTOR</t>
  </si>
  <si>
    <t>PRESUPUESTO 4194</t>
  </si>
  <si>
    <t>2 LIQUIDO FRENO</t>
  </si>
  <si>
    <t>BOMBA FRENO YARIS</t>
  </si>
  <si>
    <t>FILTRO AIRE</t>
  </si>
  <si>
    <t>PLUMILLA</t>
  </si>
  <si>
    <t>BATERIA 90 AMP</t>
  </si>
  <si>
    <t>MENARES MAIKOL (GRUA)</t>
  </si>
  <si>
    <t>PINGÜINO MAURI</t>
  </si>
  <si>
    <t xml:space="preserve">BOMBA BENCINA </t>
  </si>
  <si>
    <t>LIMPIEZA INYECTORES</t>
  </si>
  <si>
    <t>FOLLERT CARDENAS JOSE</t>
  </si>
  <si>
    <t>FILTRO ACEITE</t>
  </si>
  <si>
    <t xml:space="preserve">2 BATERIA 90 AMP </t>
  </si>
  <si>
    <t>AXIAL</t>
  </si>
  <si>
    <t>JUEGO TERMINAL</t>
  </si>
  <si>
    <t>75W90</t>
  </si>
  <si>
    <t>CORREA DISTRIBUCION 3L</t>
  </si>
  <si>
    <t>JUEGO BUJIA</t>
  </si>
  <si>
    <t>BOMBA BENCINA LUV</t>
  </si>
  <si>
    <t>FAROL CORSA</t>
  </si>
  <si>
    <t>KIT EMBRAGUE</t>
  </si>
  <si>
    <t>TERMOSTATO</t>
  </si>
  <si>
    <t>BALANCIN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</si>
  <si>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</si>
  <si>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PRESUPUESTO ED33 N 4308</t>
  </si>
  <si>
    <t>BOMDA AGUA AVELLA</t>
  </si>
  <si>
    <t>ABONO PRESUPUESTO ATOZ</t>
  </si>
  <si>
    <t>NATALIA</t>
  </si>
  <si>
    <t>ANILLO STD CORSA</t>
  </si>
  <si>
    <t>FILTRO ACEITE NAVARA</t>
  </si>
  <si>
    <t>2 COOLANT 711</t>
  </si>
  <si>
    <t>PIOLA EMBRAGUE</t>
  </si>
  <si>
    <t>ACEITE 5W30</t>
  </si>
  <si>
    <t>15W40 L</t>
  </si>
  <si>
    <t>JUEGO DISCOS FRENO</t>
  </si>
  <si>
    <t>ABONO</t>
  </si>
  <si>
    <t>ACEITE, LIQUIDO DE FRENO Y ROST-OFF</t>
  </si>
  <si>
    <t>ACEITE Y FILTRO</t>
  </si>
  <si>
    <t>2 COOLANT</t>
  </si>
  <si>
    <t>SILICONA LOCTITE</t>
  </si>
  <si>
    <t>6L 5W20</t>
  </si>
  <si>
    <t>2L 80W90</t>
  </si>
  <si>
    <t>BOMBA CEBADORA</t>
  </si>
  <si>
    <t>KIT EMBRAGUE CORSA</t>
  </si>
  <si>
    <t>ACEITE 10W40 SHELL HELIX</t>
  </si>
  <si>
    <t>MENU</t>
  </si>
  <si>
    <t>5 SELLO AGUA 40 MM</t>
  </si>
  <si>
    <t>PRESUPUESTO 4412 LANOS</t>
  </si>
  <si>
    <t>3 75W90</t>
  </si>
  <si>
    <t>METAL EJE COMPENSADOR</t>
  </si>
  <si>
    <t>T Y P</t>
  </si>
  <si>
    <t>ROGEL MARCOS</t>
  </si>
  <si>
    <t>GALLARDO ARMANDO</t>
  </si>
  <si>
    <t>1 L ACEITE 6W30</t>
  </si>
  <si>
    <t>BOMBA ACEITE ORIGINAL</t>
  </si>
  <si>
    <t>AMPOLLETA</t>
  </si>
  <si>
    <t>4 BUJIA INCANDESCENTE</t>
  </si>
  <si>
    <t>METAL BIELA 0.25</t>
  </si>
  <si>
    <t>KIT DISTRIBUCION MITSUBISHI</t>
  </si>
  <si>
    <t>2 HOMOCINETICA LADO CAJA</t>
  </si>
  <si>
    <t xml:space="preserve">BATERIA 62AMP </t>
  </si>
  <si>
    <t>ACEITE 10W40 C/ DPF</t>
  </si>
  <si>
    <t>3 L 80W90</t>
  </si>
  <si>
    <t>PRESUPUESTO N 4423</t>
  </si>
  <si>
    <t>BULBO ACEITE CORSA *</t>
  </si>
  <si>
    <t>AGUILAR FELIPE (BULLA)</t>
  </si>
  <si>
    <t>GUERRERO RODRIGO</t>
  </si>
  <si>
    <t>VERA LUIS (ELECTROVERA)</t>
  </si>
  <si>
    <t>DEL RIO LORCA EMERSON</t>
  </si>
  <si>
    <t>PORTALES CRISTIAN</t>
  </si>
  <si>
    <t>TOLEDO IVAN (EL TERRIBLE)</t>
  </si>
  <si>
    <t>RUIZ JOAQUIN (CHISPA)</t>
  </si>
  <si>
    <t>PRESUPUESTO N 4451</t>
  </si>
  <si>
    <t>JUEGO PASTILLAS DEL</t>
  </si>
  <si>
    <t>JUEGO PASTILLAS TRAS</t>
  </si>
  <si>
    <t>MAZA TRASERA SONIC</t>
  </si>
  <si>
    <t>ROSAS SERGIO (DON CHECHO)</t>
  </si>
  <si>
    <t>SALDO JUEGO PASTILLA HONDA (TOTAL 40.000)</t>
  </si>
  <si>
    <t>2 COOLANT (PRESUPUESTO 4427)</t>
  </si>
  <si>
    <t>BATERIA 90 AMP SOLITE +LH</t>
  </si>
  <si>
    <t>SALDO CORREA DIST. Y ACEITE</t>
  </si>
  <si>
    <t>pagado</t>
  </si>
  <si>
    <t>facturado</t>
  </si>
  <si>
    <t>FILTRO ACEITE Y ROST OFF</t>
  </si>
  <si>
    <t>MALDONADO MOISES</t>
  </si>
  <si>
    <t>CEA RAUL</t>
  </si>
  <si>
    <t>ROSAS ALVARO</t>
  </si>
  <si>
    <t>PRESUPUESTO 4324</t>
  </si>
  <si>
    <t>PRESUPUESTO 4325</t>
  </si>
  <si>
    <t>PRESUPUESTO 4326</t>
  </si>
  <si>
    <t>PRESUPUESTO 4327</t>
  </si>
  <si>
    <t>PRESUPUESTO 4328</t>
  </si>
  <si>
    <t>ACEITE 10W 40  PENZOIL</t>
  </si>
  <si>
    <t xml:space="preserve">GRASA LIQUIDO </t>
  </si>
  <si>
    <t xml:space="preserve">RETEN VALVULA </t>
  </si>
  <si>
    <t>AXIAL KUN</t>
  </si>
  <si>
    <t xml:space="preserve">ANTICONGELANTE </t>
  </si>
  <si>
    <t xml:space="preserve">JUEGO DE METALES </t>
  </si>
  <si>
    <t>AGUA 711</t>
  </si>
  <si>
    <t>AL DIA</t>
  </si>
  <si>
    <t xml:space="preserve">SILICONA </t>
  </si>
  <si>
    <t xml:space="preserve">CORREA </t>
  </si>
  <si>
    <t xml:space="preserve">JUEGO DE TERMINALES </t>
  </si>
  <si>
    <t>JUEGO PASTILLA</t>
  </si>
  <si>
    <t>ROA JULIAN</t>
  </si>
  <si>
    <t>BUJIA INCANDESCENTE</t>
  </si>
  <si>
    <t>CULATA MOTOR D4BH</t>
  </si>
  <si>
    <t>PRESUPUESTO N 4461</t>
  </si>
  <si>
    <t>PRESUPUESTO N 4463</t>
  </si>
  <si>
    <t>JGO PASTILLA</t>
  </si>
  <si>
    <t>D22:  EMP MOTOR, JGO BUJIA, SILICONA</t>
  </si>
  <si>
    <t>YD25:JGO EMP MOTOR, JGO VALVULA ADM/ESC</t>
  </si>
  <si>
    <t xml:space="preserve"> </t>
  </si>
  <si>
    <t xml:space="preserve">2 JUEGO DE BUJIAS </t>
  </si>
  <si>
    <t>EMPAQUETADURA TAPA VALVULA (DON SADY)</t>
  </si>
  <si>
    <t>2 COOLANT 911 (DON SADY)</t>
  </si>
  <si>
    <t>KIT DISTRIBUCION D4BH</t>
  </si>
  <si>
    <t xml:space="preserve">ABONO </t>
  </si>
  <si>
    <t>BATERIA 90 AMP *CAMBIO DE POSITIVO (115 K)(PENDIENTE DESPUES DE ABONO)</t>
  </si>
  <si>
    <t>SALDO BATERIA</t>
  </si>
  <si>
    <t>HINOSTROZA MOISES (LA CUMBRE)</t>
  </si>
  <si>
    <t>CELULAR</t>
  </si>
  <si>
    <t>10W40 PENNZOIL</t>
  </si>
  <si>
    <t xml:space="preserve">JGO BANDEJA </t>
  </si>
  <si>
    <t>JGO TERMINAL</t>
  </si>
  <si>
    <t>JGO AXIAL</t>
  </si>
  <si>
    <t>SILICONA WURTH</t>
  </si>
  <si>
    <t>SALDO BJAS AXIAL</t>
  </si>
  <si>
    <t>2 LIQUIDO 711</t>
  </si>
  <si>
    <t>EMP. MOTOR,METAL BILEA,EMP.CULATA    K74</t>
  </si>
  <si>
    <t>PRESUPUESTO Nº4369</t>
  </si>
  <si>
    <t>FECHA AB.</t>
  </si>
  <si>
    <t>ACEITE Y FILTRO SUBARU</t>
  </si>
  <si>
    <t>BUJIAS</t>
  </si>
  <si>
    <t>HOMOCINETICA LADO CAJA V16</t>
  </si>
  <si>
    <t>SOP.CARDAN Y CRUCETA</t>
  </si>
  <si>
    <t>PEGAMENTO LOCTITE VIDRIO</t>
  </si>
  <si>
    <t>1 L LIQUIDO DE FRENO</t>
  </si>
  <si>
    <t>pagadp</t>
  </si>
  <si>
    <t xml:space="preserve">PRESUPUEST0 N· 4472 </t>
  </si>
  <si>
    <t xml:space="preserve">NO </t>
  </si>
  <si>
    <t xml:space="preserve">8 BALANCIN 3 PERNOS REGULADOR  BALANCIN </t>
  </si>
  <si>
    <t>no</t>
  </si>
  <si>
    <t>presupuesto</t>
  </si>
  <si>
    <t>RADIADOR  AERIO (MAKINON)</t>
  </si>
  <si>
    <t xml:space="preserve">EMP. MOTOR + CULATA METALICA </t>
  </si>
  <si>
    <t>PRESUPUESTO 4431 FRONTIER</t>
  </si>
  <si>
    <t>PRESUPUESTO 4446 L300 $588400 SALDO</t>
  </si>
  <si>
    <t>REPUESTOS L200 BERTIN</t>
  </si>
  <si>
    <t>PRESUPUESTO Nº 4378</t>
  </si>
  <si>
    <t xml:space="preserve">SALDO ACEITE HUJO ALBERTO </t>
  </si>
  <si>
    <t>kit embrague yaris jaime</t>
  </si>
  <si>
    <t>empaquetadura 8taquet luv 2,2</t>
  </si>
  <si>
    <t>cesar</t>
  </si>
  <si>
    <t>shell 10w40 h7</t>
  </si>
  <si>
    <t>MANTENCION RAV 4</t>
  </si>
  <si>
    <t>2 cooreas h100 + correa b39</t>
  </si>
  <si>
    <t>JGO PISTON STD TOYOTA  2T (95.000)</t>
  </si>
  <si>
    <t>mantencion terrano d22 felipe</t>
  </si>
  <si>
    <t xml:space="preserve">filtro aceite sorento </t>
  </si>
  <si>
    <t xml:space="preserve">MANTENCION MONTERO </t>
  </si>
  <si>
    <t xml:space="preserve">fusible y abrazadera </t>
  </si>
  <si>
    <t>KIT EMBRAGUE MONTERO 5 ACEITE 80/90</t>
  </si>
  <si>
    <t xml:space="preserve">HOMOCINETICA V16 </t>
  </si>
  <si>
    <t>PRESUPUESTO 4398</t>
  </si>
  <si>
    <t>SALDO RADIADOR FRONTIER</t>
  </si>
  <si>
    <t>BUJIAS SD23 PN123</t>
  </si>
  <si>
    <t xml:space="preserve">aceite + filtro ignis </t>
  </si>
  <si>
    <t>PARACHOQUE$35000  Y OPTICO $38000</t>
  </si>
  <si>
    <t xml:space="preserve">PRESUPUESTO 4955 </t>
  </si>
  <si>
    <t>AFLOJATODO</t>
  </si>
  <si>
    <t>SELLOS VALVULA EGI</t>
  </si>
  <si>
    <t xml:space="preserve">SR. VELASQUEZ MECANICO </t>
  </si>
  <si>
    <t>SALDO CRUCETA CARDAN KIA (CHUNCHITO)</t>
  </si>
  <si>
    <t>aceite 75w90 tercel</t>
  </si>
  <si>
    <t>nissan d21</t>
  </si>
  <si>
    <t xml:space="preserve">rodamiento rda platina </t>
  </si>
  <si>
    <t>mantencion rio 5 negro caja 6ta full</t>
  </si>
  <si>
    <t>METAL MARUTI AMPOLLETA H4</t>
  </si>
  <si>
    <t>termostato aerio</t>
  </si>
  <si>
    <t>PASTILLA FRENO I10</t>
  </si>
  <si>
    <t>BATERIA 90 AMP $108000 ABONO 22000 25/5</t>
  </si>
  <si>
    <t>PRESUPUESTO 4512</t>
  </si>
  <si>
    <t xml:space="preserve">PRESUPUESTO #4340 SALDO </t>
  </si>
  <si>
    <t>CORREA 4PK-935 TERCEL</t>
  </si>
  <si>
    <t>PRESUPUESTO# 4964</t>
  </si>
  <si>
    <t xml:space="preserve">jgo emp.+silicona+kit distribucion+ 4 guia escape </t>
  </si>
  <si>
    <t xml:space="preserve">presupuesto Nº4967 </t>
  </si>
  <si>
    <t>PRESUPUESTO Nº4517</t>
  </si>
  <si>
    <t>PRESUPUESTONº4518</t>
  </si>
  <si>
    <t>PRESUPUESTO Nº4520</t>
  </si>
  <si>
    <t>espejos yarislh/rh</t>
  </si>
  <si>
    <t>GOTITA</t>
  </si>
  <si>
    <t>aceite 75w90 l200 año 2014</t>
  </si>
  <si>
    <t>delis</t>
  </si>
  <si>
    <t xml:space="preserve">EMPAQUETADURA + PONCHOS </t>
  </si>
  <si>
    <t>SALDO OPTICO 6052</t>
  </si>
  <si>
    <t xml:space="preserve">CRUCETA </t>
  </si>
  <si>
    <t>JUEGO BUJIAS</t>
  </si>
  <si>
    <t xml:space="preserve">PRESUPUESTO  4492 </t>
  </si>
  <si>
    <t xml:space="preserve">BOMBA DE BENCINA </t>
  </si>
  <si>
    <t xml:space="preserve">BARRA DE DIRECCION </t>
  </si>
  <si>
    <t>PRESUPUESTO  4493</t>
  </si>
  <si>
    <t>AMORTIGUADOR SWIFT</t>
  </si>
  <si>
    <t xml:space="preserve">CHEVROLET SAIL </t>
  </si>
  <si>
    <t xml:space="preserve">SALDO BATERIA </t>
  </si>
  <si>
    <t xml:space="preserve">BOMBA AGUA SAIL + TAPA DEPOSITO </t>
  </si>
  <si>
    <t>PAGDO</t>
  </si>
  <si>
    <t>PRESUPUESTO 4973</t>
  </si>
  <si>
    <t xml:space="preserve">MANUEL ROA </t>
  </si>
  <si>
    <t xml:space="preserve">HOMOSINETICA PARA EL SUEGRO </t>
  </si>
  <si>
    <t>BATERIA 90AMP SALDO</t>
  </si>
  <si>
    <t>JG. EMPA MOTOR</t>
  </si>
  <si>
    <t xml:space="preserve">RPTOS CARRY </t>
  </si>
  <si>
    <t>JGO CORREAS D21</t>
  </si>
  <si>
    <t>brazo auxiliar d22 4wd</t>
  </si>
  <si>
    <t>omar</t>
  </si>
  <si>
    <t>PRESUPUESTO 4979</t>
  </si>
  <si>
    <t>ABRAZADERA METALICA</t>
  </si>
  <si>
    <t xml:space="preserve">CHEVROLET SONIC </t>
  </si>
  <si>
    <t>BATERIA 100 AMP</t>
  </si>
  <si>
    <t xml:space="preserve">FILTRO ACEITE JEEP PATHFINDER </t>
  </si>
  <si>
    <t>PRESUPUESTO 4498</t>
  </si>
  <si>
    <t>PRESUPUESTO 4537</t>
  </si>
  <si>
    <t xml:space="preserve">SEBASTIAN CONTRERAS </t>
  </si>
  <si>
    <t>PRESUPUESTO 4982</t>
  </si>
  <si>
    <t>PRESUPUESTO 4500 + OTRO TERMINAL</t>
  </si>
  <si>
    <t>SALDO BATERIA SOBRINO JIMMY</t>
  </si>
  <si>
    <t xml:space="preserve">CORREAS </t>
  </si>
  <si>
    <t>ACEITE FRONTIER</t>
  </si>
  <si>
    <t xml:space="preserve">JGO PLUMILLAS </t>
  </si>
  <si>
    <t>75W90 FRONTIER</t>
  </si>
  <si>
    <t>GASKET</t>
  </si>
  <si>
    <t xml:space="preserve">JGO AMPOLLETAS </t>
  </si>
  <si>
    <t>15/07/202</t>
  </si>
  <si>
    <t xml:space="preserve">JGO EMPA. MOTOR GALLOPER </t>
  </si>
  <si>
    <t xml:space="preserve">CAMBIO ACEITE 5W30 </t>
  </si>
  <si>
    <t xml:space="preserve">SHELL HX7 LITRO </t>
  </si>
  <si>
    <t xml:space="preserve">JGO PICAROES </t>
  </si>
  <si>
    <t>FAROL PATENTE</t>
  </si>
  <si>
    <t xml:space="preserve">CINTA AISLADORA </t>
  </si>
  <si>
    <t xml:space="preserve">AXIAL HILUX </t>
  </si>
  <si>
    <t>RODAMIENTO 6201</t>
  </si>
  <si>
    <t>terminal kun (2) 18000</t>
  </si>
  <si>
    <t xml:space="preserve">ACEITE 15W40 5LTS </t>
  </si>
  <si>
    <t>BUJIAS CABLES YALE</t>
  </si>
  <si>
    <t>KIT CORSA DISTRIBUCION</t>
  </si>
  <si>
    <t xml:space="preserve">(3)REFRIGERANTE </t>
  </si>
  <si>
    <t>CAMBIO ACEITE 15W40 H1 CESFAM</t>
  </si>
  <si>
    <t xml:space="preserve">limpia carburador </t>
  </si>
  <si>
    <t>JUEGO BANDEJA 64000 abono 40000 25-7-2021</t>
  </si>
  <si>
    <t xml:space="preserve">4 litros 75w90 gl5 </t>
  </si>
  <si>
    <t xml:space="preserve">PRESUPUESTO N 4247 </t>
  </si>
  <si>
    <t>presupuesto 4662</t>
  </si>
  <si>
    <t>anillos d21</t>
  </si>
  <si>
    <t>jgo neblinero makinon</t>
  </si>
  <si>
    <t>EMP. MOTOR CORSA + EJE LEVA  (CORSA)</t>
  </si>
  <si>
    <t>ACEITE +FILTRO+CORREA+PICARON+3LTS 75W90</t>
  </si>
  <si>
    <t>PEDRO CARRASCO (ZORRO)</t>
  </si>
  <si>
    <t xml:space="preserve">SALDO CARROCERIA FRONTIER </t>
  </si>
  <si>
    <t>PRESUPUESTO 4671</t>
  </si>
  <si>
    <t xml:space="preserve">PIÑON CIGÜEÑAL CORSA </t>
  </si>
  <si>
    <t>JGO RETENES LANCER</t>
  </si>
  <si>
    <t>JGO BIELETAS KIA RIO</t>
  </si>
  <si>
    <t>TERMOSTATO Y AGUA COROLLA</t>
  </si>
  <si>
    <t>REFRIGERANTE TERRACAN</t>
  </si>
  <si>
    <t>ACEITE Y FILTRO CASTROL 27000 ABONO 18000</t>
  </si>
  <si>
    <t>CABLE BUJIA CORSA</t>
  </si>
  <si>
    <t xml:space="preserve">JGO TAQUIET CORSA </t>
  </si>
  <si>
    <t>liquido freno</t>
  </si>
  <si>
    <t>2 HOMOCINETICA saldo</t>
  </si>
  <si>
    <t xml:space="preserve">JGO SELLOS VALVULA </t>
  </si>
  <si>
    <t xml:space="preserve">SELLOS VALVULA </t>
  </si>
  <si>
    <t>PRESUPUESTO 4679</t>
  </si>
  <si>
    <t>PRESUPUESTO 4680</t>
  </si>
  <si>
    <t>PRESUPUESTO 4583</t>
  </si>
  <si>
    <t xml:space="preserve">JGO DISCOS+PASTILLAS </t>
  </si>
  <si>
    <t>CAMBIO ACEITE 10W40 ABONO 20</t>
  </si>
  <si>
    <t>aceite + filtro + bba emb. Terrano</t>
  </si>
  <si>
    <t>PRESUPUESTO Nº 4693</t>
  </si>
  <si>
    <t>DEVUELTOS</t>
  </si>
  <si>
    <t xml:space="preserve">AMPOLLETA H4 </t>
  </si>
  <si>
    <t xml:space="preserve">ACEITE + FILTRO </t>
  </si>
  <si>
    <t xml:space="preserve">MANTENCION TERRANO </t>
  </si>
  <si>
    <t xml:space="preserve">NO FACTURA </t>
  </si>
  <si>
    <t xml:space="preserve">4 SELLOS DE AGUA </t>
  </si>
  <si>
    <t>KIT EMBREGUE + EMP. + 80W90</t>
  </si>
  <si>
    <t xml:space="preserve">valvula ignis </t>
  </si>
  <si>
    <t>pendiente</t>
  </si>
  <si>
    <t xml:space="preserve">L200 2005 </t>
  </si>
  <si>
    <t>aceite para la cascara</t>
  </si>
  <si>
    <t xml:space="preserve">saldo bateria </t>
  </si>
  <si>
    <t>filtro polen i30</t>
  </si>
  <si>
    <t>aceite filtro termosttao l200</t>
  </si>
  <si>
    <t>TIO CHINO LESPAI</t>
  </si>
  <si>
    <t>TURBO SALDO</t>
  </si>
  <si>
    <t>NO  FACTURA</t>
  </si>
  <si>
    <t>MARCO BAHAMONDEZ (SUBOFICIAL)</t>
  </si>
  <si>
    <t xml:space="preserve">atf corsa </t>
  </si>
  <si>
    <t>presupuesto nº 4607</t>
  </si>
  <si>
    <t>saldo optico vivant</t>
  </si>
  <si>
    <t xml:space="preserve">abono </t>
  </si>
  <si>
    <t xml:space="preserve">   </t>
  </si>
  <si>
    <t>presupuesto 4701 saldo presupuesto</t>
  </si>
  <si>
    <t xml:space="preserve">JGO PASTILLAS RB </t>
  </si>
  <si>
    <t xml:space="preserve">emp. Culata + poncho valvula </t>
  </si>
  <si>
    <t>homocinetica mazda 3</t>
  </si>
  <si>
    <t>jgo valvula empaquetadura</t>
  </si>
  <si>
    <t>LIMPIADOR INTERIORES SONAX</t>
  </si>
  <si>
    <t>FILTRO AIRE + LIMPIA CARBURADOR GYLLY</t>
  </si>
  <si>
    <t>PASTILLA FRENO PORTER</t>
  </si>
  <si>
    <t>HOMOCINETICA MARUTI</t>
  </si>
  <si>
    <t xml:space="preserve">RADIADOR </t>
  </si>
  <si>
    <t xml:space="preserve">rotulas maxus </t>
  </si>
  <si>
    <t>no facturado</t>
  </si>
  <si>
    <t xml:space="preserve">CORREA + FUELLES + TERMOS. SUBARU </t>
  </si>
  <si>
    <t>rodamiento maza</t>
  </si>
  <si>
    <t>JGO EMP.MOTOR Y SILICONA (ROLA)</t>
  </si>
  <si>
    <t>RAPUESTOS BALENO</t>
  </si>
  <si>
    <t xml:space="preserve">HOMOCINETICA </t>
  </si>
  <si>
    <t>FILTRO ACEITE (ROLA)</t>
  </si>
  <si>
    <t>JURGO ROULA 4ZD1</t>
  </si>
  <si>
    <t>PRESUPUESTO 4765</t>
  </si>
  <si>
    <t xml:space="preserve">LIMPIA CARBURADOR </t>
  </si>
  <si>
    <t>HECTOR HERNNADEZ (FALABELLA)</t>
  </si>
  <si>
    <t xml:space="preserve">JGO CHAPA SUBARU </t>
  </si>
  <si>
    <t>presupuesto 4769</t>
  </si>
  <si>
    <t>presupuesto 4767</t>
  </si>
  <si>
    <t xml:space="preserve">FILTRO PETROLEO (ROLA) </t>
  </si>
  <si>
    <t>SOPORTE MOTOR L200</t>
  </si>
  <si>
    <t>PRESUPUESTO 4632</t>
  </si>
  <si>
    <t>ANILLOS + EMP. CULATA ORIGINAL D22</t>
  </si>
  <si>
    <t xml:space="preserve">JGO ROTULAS TERRANO INFERIOR JAPO KASKARA </t>
  </si>
  <si>
    <t>PRESUPUESTO ROTULA H1</t>
  </si>
  <si>
    <t xml:space="preserve">SELLO DE VALVULA </t>
  </si>
  <si>
    <t xml:space="preserve">EMPAQUEATDURA CULATA </t>
  </si>
  <si>
    <t xml:space="preserve">METALES BANCADA </t>
  </si>
  <si>
    <t xml:space="preserve">bandejas + gomas tensoras ignis </t>
  </si>
  <si>
    <t>abono</t>
  </si>
  <si>
    <t>fecha abono</t>
  </si>
  <si>
    <t>saldo pendiente toyota 4y</t>
  </si>
  <si>
    <t>presupuesto 4646</t>
  </si>
  <si>
    <t xml:space="preserve">SALDO SUSPENSION HILUX 2Y </t>
  </si>
  <si>
    <t xml:space="preserve">silicon + filtro </t>
  </si>
  <si>
    <t>acite 10w/40 con filtro hermano</t>
  </si>
  <si>
    <t>devuelta</t>
  </si>
  <si>
    <t>jgo pastilla freno</t>
  </si>
  <si>
    <t>presupuesto 4730</t>
  </si>
  <si>
    <t>BANDEJAS IGNIS SUEGRO QUERIDO</t>
  </si>
  <si>
    <t>repuestos dmax</t>
  </si>
  <si>
    <t xml:space="preserve">PONCHO SPARK </t>
  </si>
  <si>
    <t xml:space="preserve">CAMBIO ACEITE Y MANTENCION CAJA SUBA </t>
  </si>
  <si>
    <t xml:space="preserve">cambio aceite rav 4 prima de la jefa </t>
  </si>
  <si>
    <t>cambio aceite nomade</t>
  </si>
  <si>
    <t>rodamientos masa 2y</t>
  </si>
  <si>
    <t xml:space="preserve">EMPA MULTIPLE + LLAVE CORONA </t>
  </si>
  <si>
    <t xml:space="preserve">mantencion navara san juan </t>
  </si>
  <si>
    <t>distribucion h100</t>
  </si>
  <si>
    <t>ACEITE 5W/30</t>
  </si>
  <si>
    <t>ACEITE 80/90</t>
  </si>
  <si>
    <t>repuestos cerato</t>
  </si>
  <si>
    <t>presupuesto nº4776</t>
  </si>
  <si>
    <t xml:space="preserve">SENSOR VELOCIDAD RB </t>
  </si>
  <si>
    <t xml:space="preserve">maza accent 1997 jgo </t>
  </si>
  <si>
    <t xml:space="preserve">CAMBIO ACEITE MAGNATEC </t>
  </si>
  <si>
    <t xml:space="preserve">cambio aceite </t>
  </si>
  <si>
    <t>atf x2 joven</t>
  </si>
  <si>
    <t>REPUESTOS SUNNY</t>
  </si>
  <si>
    <t>SALDO BOMBA DIRECCION</t>
  </si>
  <si>
    <t>presupuesto nº 4779</t>
  </si>
  <si>
    <t xml:space="preserve">sellos agua nissan </t>
  </si>
  <si>
    <t>15712/2021</t>
  </si>
  <si>
    <t>filtro aire c-23107</t>
  </si>
  <si>
    <t>mas 14000 del 15/12</t>
  </si>
  <si>
    <t xml:space="preserve">soporte cardan d21 </t>
  </si>
  <si>
    <t xml:space="preserve">anillos motor </t>
  </si>
  <si>
    <t xml:space="preserve">aceite y filtro </t>
  </si>
  <si>
    <t xml:space="preserve">emp. tapa valvula y camisa bujia </t>
  </si>
  <si>
    <t>PISTOLA IMPACTO CUATRO CUOTAS</t>
  </si>
  <si>
    <t>jgo optico</t>
  </si>
  <si>
    <t xml:space="preserve">rotor </t>
  </si>
  <si>
    <t>radiador condensador vivant saldo</t>
  </si>
  <si>
    <t>si</t>
  </si>
  <si>
    <t>jgo bandeja y terminal accent rb</t>
  </si>
  <si>
    <t>jgo bujias</t>
  </si>
  <si>
    <t>cambio aceite rb</t>
  </si>
  <si>
    <t>HANZ AGUILAR</t>
  </si>
  <si>
    <t>SALDO V16</t>
  </si>
  <si>
    <t xml:space="preserve">cambio aceite pa la cascara </t>
  </si>
  <si>
    <t>MAURICIO VALENZUELA(MALO PAL SEXO)</t>
  </si>
  <si>
    <t>REPUESTOS TERRANO (CRISTIAN)</t>
  </si>
  <si>
    <t>MONTES WALTER (LOCO EDY)</t>
  </si>
  <si>
    <t>AROMATIZANTE CUBREVOLANTE</t>
  </si>
  <si>
    <t>ACEITE BUJIAS EMP.</t>
  </si>
  <si>
    <t>Pagado</t>
  </si>
  <si>
    <t xml:space="preserve">cambio de aceite abispa </t>
  </si>
  <si>
    <t>radiador l200</t>
  </si>
  <si>
    <t>VENEGAS EFRAIN BERNABE</t>
  </si>
  <si>
    <t>SALDO FILTRO MONTERO</t>
  </si>
  <si>
    <t>presupuesto Nº 4799</t>
  </si>
  <si>
    <t>RICARDO 5L</t>
  </si>
  <si>
    <t>DIFERENCIA DEVOLUCION</t>
  </si>
  <si>
    <t>kit distribucion</t>
  </si>
  <si>
    <t>SOBARZO RODOLFO</t>
  </si>
  <si>
    <t>ROBLES LUIS</t>
  </si>
  <si>
    <t>BARRIA MIGUEL</t>
  </si>
  <si>
    <t>cable bujia roedores sensor T limpiainyectores</t>
  </si>
  <si>
    <t>hijo</t>
  </si>
  <si>
    <t>pastillas</t>
  </si>
  <si>
    <t xml:space="preserve"> RODAM</t>
  </si>
  <si>
    <t>ACEITE</t>
  </si>
  <si>
    <t>CIL EMBR</t>
  </si>
  <si>
    <t>BAHAMONDEZ JORGE</t>
  </si>
  <si>
    <t>HENRIQUES JORGE (HUEVO)</t>
  </si>
  <si>
    <t>PUSCHEL PABLO</t>
  </si>
  <si>
    <t xml:space="preserve">LORCA EMERSON </t>
  </si>
  <si>
    <t>FUENTES HECTOR</t>
  </si>
  <si>
    <t>PINUER OMAR</t>
  </si>
  <si>
    <t>RODAMIENTO CARDAN</t>
  </si>
  <si>
    <t>SI</t>
  </si>
  <si>
    <t>LIQUIDO REFRIGERANTE</t>
  </si>
  <si>
    <t>BOBINA</t>
  </si>
  <si>
    <t>presupuesto nº4901</t>
  </si>
  <si>
    <t>amortigua. Artiz</t>
  </si>
  <si>
    <t xml:space="preserve">correa distribucion kb4 </t>
  </si>
  <si>
    <t>piso refrigerante</t>
  </si>
  <si>
    <t>rost off</t>
  </si>
  <si>
    <t>SALDO SAIL</t>
  </si>
  <si>
    <t>INYECTORES LUV 2,2</t>
  </si>
  <si>
    <t xml:space="preserve">PARACHOQUE DELANTERO LUV </t>
  </si>
  <si>
    <t>NOP</t>
  </si>
  <si>
    <t>RODAMIENTO MAZA TERCEL</t>
  </si>
  <si>
    <t>saldo limpiador mariposa</t>
  </si>
  <si>
    <t>BOMBA  BENCINA CARRY</t>
  </si>
  <si>
    <t xml:space="preserve">repuestos 3y </t>
  </si>
  <si>
    <t xml:space="preserve">repuestos tucson </t>
  </si>
  <si>
    <t xml:space="preserve">jgo emp. Suzuki aerio makina + cambio aceite </t>
  </si>
  <si>
    <t>PRESUPUESTO Nº 4905</t>
  </si>
  <si>
    <t xml:space="preserve">CHICO JULIO </t>
  </si>
  <si>
    <t>presupuesto 4821</t>
  </si>
  <si>
    <t xml:space="preserve">BOMBA H100 VALVULAS KIA </t>
  </si>
  <si>
    <t xml:space="preserve">SWICH SENSOR PEDAL PA LA CASCARA </t>
  </si>
  <si>
    <t xml:space="preserve">3 ACEITE 75W90 GL-4 </t>
  </si>
  <si>
    <t>saldo kit embrague rio 1,3</t>
  </si>
  <si>
    <t xml:space="preserve">BATERIA 55 AMP ROCKET </t>
  </si>
  <si>
    <t xml:space="preserve">JGO ROTULAS DMAX </t>
  </si>
  <si>
    <t>metal biela yd25</t>
  </si>
  <si>
    <t>bandeja superior 4x4</t>
  </si>
  <si>
    <t>pastilla freno</t>
  </si>
  <si>
    <t xml:space="preserve">accent 2005 hermana </t>
  </si>
  <si>
    <t>JGO AMORTIGUADORES DELANTEROS</t>
  </si>
  <si>
    <t>presupuesto 4872</t>
  </si>
  <si>
    <t>gasket</t>
  </si>
  <si>
    <t>PRESUPUESTONº4911</t>
  </si>
  <si>
    <t xml:space="preserve">PAPA DE GUILLE </t>
  </si>
  <si>
    <t>SALDO BANDEJA HOMOCINETICA</t>
  </si>
  <si>
    <t xml:space="preserve">bateria 55 </t>
  </si>
  <si>
    <t>11 02 2022</t>
  </si>
  <si>
    <t>amortiguadores</t>
  </si>
  <si>
    <t>PRESUPUESTO Nº4915</t>
  </si>
  <si>
    <t>embrague d21</t>
  </si>
  <si>
    <t>presupuesto Nº4921</t>
  </si>
  <si>
    <t>PRESUPUESTO Nº4922 (LUV)</t>
  </si>
  <si>
    <t>aceite 80/90w yampolleta</t>
  </si>
  <si>
    <t>PRESUPUESTO 4833</t>
  </si>
  <si>
    <t>bateria 55 rocker</t>
  </si>
  <si>
    <t>presupuesto 4831</t>
  </si>
  <si>
    <t xml:space="preserve">JGO AXIALES </t>
  </si>
  <si>
    <t xml:space="preserve">anticongelante  filtro aire </t>
  </si>
  <si>
    <t>fuelle y grasa</t>
  </si>
  <si>
    <t>3 correa y jgo bujias</t>
  </si>
  <si>
    <t>2 75w90 gl4 tucson</t>
  </si>
  <si>
    <t xml:space="preserve">galon aceite 15w40 </t>
  </si>
  <si>
    <t xml:space="preserve">saldo grand nomade </t>
  </si>
  <si>
    <t xml:space="preserve">saldo terrano </t>
  </si>
  <si>
    <t xml:space="preserve">cremallera direccion accent </t>
  </si>
  <si>
    <t>AROMATIZANTE PASTILLA</t>
  </si>
  <si>
    <t xml:space="preserve">farol trasero </t>
  </si>
  <si>
    <t>rotula dmax terminal rost off</t>
  </si>
  <si>
    <t>PRESUPUESTO Nº 4830 SOBRINO</t>
  </si>
  <si>
    <t>saldo pistola</t>
  </si>
  <si>
    <t>repuesto elantra 1,6</t>
  </si>
  <si>
    <t>abono 20000</t>
  </si>
  <si>
    <t>tensor sail narco</t>
  </si>
  <si>
    <t xml:space="preserve">bobina  + bujias </t>
  </si>
  <si>
    <t xml:space="preserve"> empaquetadura baleno</t>
  </si>
  <si>
    <t>ampolleta h4</t>
  </si>
  <si>
    <t>8 gomas punta barra d22</t>
  </si>
  <si>
    <t>aceite 75w90</t>
  </si>
  <si>
    <t xml:space="preserve">aditivo caja </t>
  </si>
  <si>
    <t>rotula superior d22</t>
  </si>
  <si>
    <t xml:space="preserve">grasa grafitada </t>
  </si>
  <si>
    <t xml:space="preserve">aceite sail hija </t>
  </si>
  <si>
    <t>AGUILAR FELIPE (BULLA) LICAN</t>
  </si>
  <si>
    <t xml:space="preserve">AMPOLLETAS </t>
  </si>
  <si>
    <t>$</t>
  </si>
  <si>
    <t>PRESUPUESTO VG33 N4841</t>
  </si>
  <si>
    <t>PRESUPUESTO 4849</t>
  </si>
  <si>
    <t>FERNANDEZ NICASIO (TIO CABALLO)</t>
  </si>
  <si>
    <t>JGO EMPAT 2,3</t>
  </si>
  <si>
    <t>ROST OFF SILICONA</t>
  </si>
  <si>
    <t>AFINAMIENTO JGO EMP</t>
  </si>
  <si>
    <t xml:space="preserve">FILTRO AIRE </t>
  </si>
  <si>
    <t>presupuesto n 5001</t>
  </si>
  <si>
    <t xml:space="preserve">silicona </t>
  </si>
  <si>
    <t>no factura</t>
  </si>
  <si>
    <t>bujias + termostato (casi suegra)</t>
  </si>
  <si>
    <t xml:space="preserve">75W90 </t>
  </si>
  <si>
    <t xml:space="preserve">REFRIGERANTE </t>
  </si>
  <si>
    <t xml:space="preserve">JGO CABLES BUJIAS ACCENT </t>
  </si>
  <si>
    <t>castrol gran nomade v6</t>
  </si>
  <si>
    <t>PRESUPUESTO Nº5104</t>
  </si>
  <si>
    <t>PRESUPUESTO 5063</t>
  </si>
  <si>
    <t>abono 08/04/2022</t>
  </si>
  <si>
    <t xml:space="preserve">BATERIA SALDO </t>
  </si>
  <si>
    <t>presupuesto 5011</t>
  </si>
  <si>
    <t>EMPAQUETADURA CULATA</t>
  </si>
  <si>
    <t xml:space="preserve">CAMBIO ACEITE </t>
  </si>
  <si>
    <t>REPUESTOS SAIL BIELETA CAZOLETA TERMINALES</t>
  </si>
  <si>
    <t xml:space="preserve">COOLANT </t>
  </si>
  <si>
    <t>BOMBA DE BENCINA BOSCH</t>
  </si>
  <si>
    <t>BATERIA 55AMPERES</t>
  </si>
  <si>
    <t>SALDO AJUSTE L200</t>
  </si>
  <si>
    <t>MAESTRO GODOY  CACHITO</t>
  </si>
  <si>
    <t>SELLO DE VALVULA BALENO</t>
  </si>
  <si>
    <t>empa. Motor d21 toto</t>
  </si>
  <si>
    <t>presupuesto nº 4788</t>
  </si>
  <si>
    <t>COBRADO</t>
  </si>
  <si>
    <t>A FAVOR</t>
  </si>
  <si>
    <t xml:space="preserve">jgo bujias </t>
  </si>
  <si>
    <t xml:space="preserve">bujias aceite </t>
  </si>
  <si>
    <t>metales towner</t>
  </si>
  <si>
    <t>BATERIA 90AMP</t>
  </si>
  <si>
    <t>KIT EMBRAGUE CRUCETA LIQUIDO</t>
  </si>
  <si>
    <t>bujias 2 juegos</t>
  </si>
  <si>
    <t>bateria buenarda pal papá</t>
  </si>
  <si>
    <t>por factura</t>
  </si>
  <si>
    <t>por facturar abono 100.000</t>
  </si>
  <si>
    <t>presupuesto nº 5036</t>
  </si>
  <si>
    <t xml:space="preserve">servicio montana </t>
  </si>
  <si>
    <t xml:space="preserve">termostato subaru </t>
  </si>
  <si>
    <t xml:space="preserve">plumilla </t>
  </si>
  <si>
    <t xml:space="preserve">$50000 01/04  + 50000 04/05 </t>
  </si>
  <si>
    <t>ABONO 150.000+18000+100000</t>
  </si>
  <si>
    <t>bateria</t>
  </si>
  <si>
    <t xml:space="preserve">radiador galloper + tapa </t>
  </si>
  <si>
    <t xml:space="preserve">castrol 80/90ls  *3 + limpador radiador </t>
  </si>
  <si>
    <t xml:space="preserve">platino + condensador </t>
  </si>
  <si>
    <t xml:space="preserve">CABLES BUJIAS ACCENT </t>
  </si>
  <si>
    <t>MANTENCIAN KUN</t>
  </si>
  <si>
    <t>CORREA A-46</t>
  </si>
  <si>
    <t xml:space="preserve">jgo bujia </t>
  </si>
  <si>
    <t>bomba freno v16 liquido freno</t>
  </si>
  <si>
    <t>enchufe carro</t>
  </si>
  <si>
    <t>tapa rad+sellos agua limpiaradiador</t>
  </si>
  <si>
    <t>amortiguadores trasero kun</t>
  </si>
  <si>
    <t>liquido refrigerante+ROS OFF</t>
  </si>
  <si>
    <t>repuestos tercel</t>
  </si>
  <si>
    <t>saldo y repuestos yaris repuestos platina</t>
  </si>
  <si>
    <t>ACEITE MOTOR BALENO</t>
  </si>
  <si>
    <t>liquido refrigerante x 2</t>
  </si>
  <si>
    <t>termostato 22r</t>
  </si>
  <si>
    <t>rodamiento embrague 22r</t>
  </si>
  <si>
    <t>filtro y aceite 22rr</t>
  </si>
  <si>
    <t>SERVICIO ACCENT RB</t>
  </si>
  <si>
    <t>K74 MITSUBISHI</t>
  </si>
  <si>
    <t>BATERIA 90AMP + 2ANTICOMGELANTE</t>
  </si>
  <si>
    <t>filtro petroleo</t>
  </si>
  <si>
    <t>axiales 2 ampolleta</t>
  </si>
  <si>
    <t>picaron escape empaquetaura bujia</t>
  </si>
  <si>
    <t>bateria 90 amperes</t>
  </si>
  <si>
    <t>presupuesto 10546</t>
  </si>
  <si>
    <t>bateria 35amp hijo</t>
  </si>
  <si>
    <t xml:space="preserve">elantra hermanita </t>
  </si>
  <si>
    <t>TIO OMAR</t>
  </si>
  <si>
    <t>anillos y metal biela e13</t>
  </si>
  <si>
    <t xml:space="preserve">anticongelante,  rostof, liquido freno </t>
  </si>
  <si>
    <t>piola freno MANO 2Y</t>
  </si>
  <si>
    <t xml:space="preserve">jgo cables bujias </t>
  </si>
  <si>
    <t xml:space="preserve">rotula </t>
  </si>
  <si>
    <t>liquido refrigerante</t>
  </si>
  <si>
    <t xml:space="preserve">SALDO BANDEJA </t>
  </si>
  <si>
    <t xml:space="preserve">para camion jefa </t>
  </si>
  <si>
    <t>correa</t>
  </si>
  <si>
    <t>coolant colorado</t>
  </si>
  <si>
    <t xml:space="preserve">kit embrague kun santa clara lican </t>
  </si>
  <si>
    <t>presupuesto nº5224</t>
  </si>
  <si>
    <t>aceite filtro</t>
  </si>
  <si>
    <t xml:space="preserve">omar </t>
  </si>
  <si>
    <t>bilomoide</t>
  </si>
  <si>
    <t>filtro aire y bujias baleno</t>
  </si>
  <si>
    <t>filtro petroleo l200 2.5 2009</t>
  </si>
  <si>
    <t xml:space="preserve">silicona loctite </t>
  </si>
  <si>
    <t>BANDEJAS</t>
  </si>
  <si>
    <t>presupuesto 5235</t>
  </si>
  <si>
    <t>FILTRO COMBUSTIBLE</t>
  </si>
  <si>
    <t>aceite 20w50 + filtro (hilux 22r)</t>
  </si>
  <si>
    <t xml:space="preserve">aceite 75w90 gl5 3lts </t>
  </si>
  <si>
    <t>PRESUPUESTO Nº5227</t>
  </si>
  <si>
    <t>cilindro freno y liquido</t>
  </si>
  <si>
    <t>presupuesto 5240</t>
  </si>
  <si>
    <t>presupuesto 5241</t>
  </si>
  <si>
    <t>aceite 15w40 cambio extendido</t>
  </si>
  <si>
    <t>presupuesto 5175</t>
  </si>
  <si>
    <t>presupuesto 5251 + filtro aire</t>
  </si>
  <si>
    <t>Bandeja + rotula tercel 1998</t>
  </si>
  <si>
    <t>AFINAMIENTO TERRANO TOSCO</t>
  </si>
  <si>
    <t xml:space="preserve">PRESUPUESTO N 5180 RAV 4 </t>
  </si>
  <si>
    <t>04/0872022</t>
  </si>
  <si>
    <t>PRESUPUSETO N 5180 CELERIO</t>
  </si>
  <si>
    <t xml:space="preserve">REPUESTO CORSA APARECIO </t>
  </si>
  <si>
    <t>bateria 45</t>
  </si>
  <si>
    <t>correa 4pk-835</t>
  </si>
  <si>
    <t>1 litro aceite shell 10w40</t>
  </si>
  <si>
    <t>loctite</t>
  </si>
  <si>
    <t>PRESUPUESTO N5260</t>
  </si>
  <si>
    <t>HUALA CARLOS</t>
  </si>
  <si>
    <t>PLANTILLA</t>
  </si>
  <si>
    <t>LOAIZA JOSE (FRANKE)</t>
  </si>
  <si>
    <t>SEGOVIA GUILLERMO</t>
  </si>
  <si>
    <t>TIO CABALLO</t>
  </si>
  <si>
    <t>PAREDES JUAN (PERRITO)</t>
  </si>
  <si>
    <t>PALMA ROSAS JUAN  (VITOY)</t>
  </si>
  <si>
    <t xml:space="preserve">CORONADO LORENA </t>
  </si>
  <si>
    <t xml:space="preserve">NAGIAN BERNARDO </t>
  </si>
  <si>
    <t xml:space="preserve">AROS MARCIA </t>
  </si>
  <si>
    <t>TOSKA</t>
  </si>
  <si>
    <t>bateria 70 amperes stp $70000 12/08/2022</t>
  </si>
  <si>
    <t xml:space="preserve">jgo bornes + termostato </t>
  </si>
  <si>
    <t>PRESUPUESTO 5267</t>
  </si>
  <si>
    <t>ROTULA SUPERIOR</t>
  </si>
  <si>
    <t>JGO PASTILLA FRENO</t>
  </si>
  <si>
    <t xml:space="preserve">PRESUPUESTO 5189 </t>
  </si>
  <si>
    <t xml:space="preserve">cilindro freno + bliquido freno </t>
  </si>
  <si>
    <t xml:space="preserve">limpiador freno </t>
  </si>
  <si>
    <t xml:space="preserve">espejo nissan </t>
  </si>
  <si>
    <t>ampolleta y pino</t>
  </si>
  <si>
    <t>farol trasero yaris</t>
  </si>
  <si>
    <t>saldo bateria</t>
  </si>
  <si>
    <t>kit embrague j20a</t>
  </si>
  <si>
    <t>presupuesto 5276</t>
  </si>
  <si>
    <t>aceite y filtro luv</t>
  </si>
  <si>
    <t>2 anticongelante</t>
  </si>
  <si>
    <t>SALDO FOCO TRASERO HILUX</t>
  </si>
  <si>
    <t xml:space="preserve">ROBERTO VILLARROEL </t>
  </si>
  <si>
    <t>CORREAS KB4</t>
  </si>
  <si>
    <t>toyota kun</t>
  </si>
  <si>
    <t>silicona y ampolleta</t>
  </si>
  <si>
    <t>presupuesto nº5199</t>
  </si>
  <si>
    <t xml:space="preserve">fuellle kia </t>
  </si>
  <si>
    <t>repuestos qasqhai</t>
  </si>
  <si>
    <t xml:space="preserve">rodamiento maza kun </t>
  </si>
  <si>
    <t>P</t>
  </si>
  <si>
    <t>RETEN SUZUKI AXIAL HYUNDAI</t>
  </si>
  <si>
    <t>PRESUPUESTO 5293</t>
  </si>
  <si>
    <t>PRESUPUESTO 5294</t>
  </si>
  <si>
    <t>nota venta 575</t>
  </si>
  <si>
    <t>gotita afinamiento luv 2,2 shell</t>
  </si>
  <si>
    <t>pino aromatico</t>
  </si>
  <si>
    <t>espejo yaris</t>
  </si>
  <si>
    <t xml:space="preserve">cruceta nissan </t>
  </si>
  <si>
    <t>CORREA A34</t>
  </si>
  <si>
    <t xml:space="preserve">HUGO NILIAN </t>
  </si>
  <si>
    <t>PLUMILLA Y BATERIA</t>
  </si>
  <si>
    <t>cruceta nissan GUMZ 6 + SOPORTE CARDAN</t>
  </si>
  <si>
    <t>RADIADOR CALEFA + FUELLE</t>
  </si>
  <si>
    <t>KIA POP</t>
  </si>
  <si>
    <t>shampo con cera</t>
  </si>
  <si>
    <t>empaquetadura tucson</t>
  </si>
  <si>
    <t xml:space="preserve">epoxico titanio </t>
  </si>
  <si>
    <t>presupuesto 5308</t>
  </si>
  <si>
    <t xml:space="preserve">filtro aire </t>
  </si>
  <si>
    <t>BONY</t>
  </si>
  <si>
    <t>saldo del pressupuesto 5267</t>
  </si>
  <si>
    <t>transferencia</t>
  </si>
  <si>
    <t>presupuesto 5365</t>
  </si>
  <si>
    <t>repuestos sail 1,4</t>
  </si>
  <si>
    <t>pastilla freno accent rb</t>
  </si>
  <si>
    <t>PRESUPUESTO 5366</t>
  </si>
  <si>
    <t>BORNE BATERIA</t>
  </si>
  <si>
    <t>jgo valvula santamo</t>
  </si>
  <si>
    <t>duda</t>
  </si>
  <si>
    <t>SALDO PRESUPUESTO 5358</t>
  </si>
  <si>
    <t>presupuesto 5374</t>
  </si>
  <si>
    <t>kit embrague sail</t>
  </si>
  <si>
    <t xml:space="preserve">PASTILLA FRENO </t>
  </si>
  <si>
    <t>BATERIA 55 AMP</t>
  </si>
  <si>
    <t>repuestos sonic que no parte</t>
  </si>
  <si>
    <t>cruceta + aceite 75w90</t>
  </si>
  <si>
    <t>presupuesto 5334</t>
  </si>
  <si>
    <t>caiman</t>
  </si>
  <si>
    <t>a favor</t>
  </si>
  <si>
    <t xml:space="preserve">soldador </t>
  </si>
  <si>
    <t>35000 bomba bujias</t>
  </si>
  <si>
    <t>20000 jgo empa tapa radiador  $4500</t>
  </si>
  <si>
    <t>cruceta gum 91 x3</t>
  </si>
  <si>
    <t xml:space="preserve">correa corsa </t>
  </si>
  <si>
    <t>cinta aerbag</t>
  </si>
  <si>
    <t>liquido freno senfineco</t>
  </si>
  <si>
    <t xml:space="preserve">a favor </t>
  </si>
  <si>
    <t xml:space="preserve">javier nilian </t>
  </si>
  <si>
    <t>saldo factura nº6898</t>
  </si>
  <si>
    <t>saldo disco y pastilla</t>
  </si>
  <si>
    <t xml:space="preserve">limpia sistema admision </t>
  </si>
  <si>
    <t>CARLOS SEND</t>
  </si>
  <si>
    <t>CAMBIO ACEITE 5334</t>
  </si>
  <si>
    <t>CAMBIO ACEITE N5393</t>
  </si>
  <si>
    <t>JGO RODAMIENTO</t>
  </si>
  <si>
    <t>BATERIA 55AMPERES BEST Y CORREA TERCEL</t>
  </si>
  <si>
    <t xml:space="preserve">jose ortiz </t>
  </si>
  <si>
    <t>presupiesto 5397</t>
  </si>
  <si>
    <t>BATERIA CUÑADO</t>
  </si>
  <si>
    <t>empaquetadura culata multiple picaron</t>
  </si>
  <si>
    <t>cambio aceite 4n15</t>
  </si>
  <si>
    <t>rotula inferior porter</t>
  </si>
  <si>
    <t>bomba agua sail + coolant + termostato</t>
  </si>
  <si>
    <t xml:space="preserve">ACEITE +FILTRO NISSAN NAVARA </t>
  </si>
  <si>
    <t>PRESUPUESTO 5413</t>
  </si>
  <si>
    <t>pAGADO</t>
  </si>
  <si>
    <t xml:space="preserve">REPUESTOS TOYOTA </t>
  </si>
  <si>
    <t>aceite 5w/30 suegro</t>
  </si>
  <si>
    <t>correa 6pk-1460</t>
  </si>
  <si>
    <t>presupuesto 5455</t>
  </si>
  <si>
    <t>lican maquinaria lfdc-46</t>
  </si>
  <si>
    <t>aceite 5w/30 hwhs-44</t>
  </si>
  <si>
    <t>presupuesto 5420</t>
  </si>
  <si>
    <t>CRUCETA CARDAN 4N15</t>
  </si>
  <si>
    <t>MARCELO CARRILLO</t>
  </si>
  <si>
    <t xml:space="preserve">auromotriz mackenna </t>
  </si>
  <si>
    <t xml:space="preserve">aceite 10w40 + filtro </t>
  </si>
  <si>
    <t>bobina spark gt</t>
  </si>
  <si>
    <t xml:space="preserve">saldo repuestos </t>
  </si>
  <si>
    <t>mantencion kun bdhp-68</t>
  </si>
  <si>
    <t>correa a-34</t>
  </si>
  <si>
    <t>presupuesto 5432</t>
  </si>
  <si>
    <t xml:space="preserve">optico yaris </t>
  </si>
  <si>
    <t>bujias incandescente (2)</t>
  </si>
  <si>
    <t>OPTICO CORSA LH</t>
  </si>
  <si>
    <t>filtro aceite terrano $10000 blindao</t>
  </si>
  <si>
    <t>BATERIA 100 AMP saldo 2 abonos</t>
  </si>
  <si>
    <t>devolucion</t>
  </si>
  <si>
    <t xml:space="preserve">victor </t>
  </si>
  <si>
    <t>rotula inferior 4zd1</t>
  </si>
  <si>
    <t>diferencia jgo empa. H100 + metal biela std</t>
  </si>
  <si>
    <t xml:space="preserve">mazasa traseras </t>
  </si>
  <si>
    <t>abono 50000 14/09 abono $10000 14/12/2022</t>
  </si>
  <si>
    <t>correa 5pk 850</t>
  </si>
  <si>
    <t>pastilla freno ac delco</t>
  </si>
  <si>
    <t>presupuesto 5435</t>
  </si>
  <si>
    <t>homocinetica lado caja</t>
  </si>
  <si>
    <t xml:space="preserve">kit distribucion </t>
  </si>
  <si>
    <t>reten distribucion (2)</t>
  </si>
  <si>
    <t xml:space="preserve">pastillas freno navara </t>
  </si>
  <si>
    <t>bomba embrague d21 (hija)</t>
  </si>
  <si>
    <t xml:space="preserve">saldo rotula </t>
  </si>
  <si>
    <t>jugo patines</t>
  </si>
  <si>
    <t xml:space="preserve">kit embrague kb4 </t>
  </si>
  <si>
    <t xml:space="preserve">correa subaru </t>
  </si>
  <si>
    <t>siwch temperatura</t>
  </si>
  <si>
    <t>jgo pastillas + liquido freno</t>
  </si>
  <si>
    <t xml:space="preserve">bomba bencina carburada </t>
  </si>
  <si>
    <t>repuestos nissan barra rotula</t>
  </si>
  <si>
    <t xml:space="preserve">rodamiento </t>
  </si>
  <si>
    <t>MARCELO HUISCAÑANCO</t>
  </si>
  <si>
    <t>DIFERENCIA BATERIA 90 AMP</t>
  </si>
  <si>
    <t>2- atf</t>
  </si>
  <si>
    <t>saldo luv 2,2</t>
  </si>
  <si>
    <t>presupuesto 5553</t>
  </si>
  <si>
    <t>presupuesto 5554</t>
  </si>
  <si>
    <t>manilla</t>
  </si>
  <si>
    <t>kit embrague</t>
  </si>
  <si>
    <t>empaquetadura culata corsa</t>
  </si>
  <si>
    <t xml:space="preserve">repuestos hermana </t>
  </si>
  <si>
    <t>poncho valvula baleno (16.000 ABONO 7.000)</t>
  </si>
  <si>
    <t>CORREA DMAX B39</t>
  </si>
  <si>
    <t>extremo direccion qd32 (30.000-Abono 27.000)</t>
  </si>
  <si>
    <t>radiador frontier suspensión kun (165.000 abono 110.000)</t>
  </si>
  <si>
    <t>JUEGO BIELETAS DMAX BHORKE</t>
  </si>
  <si>
    <t>coolant rojo</t>
  </si>
  <si>
    <t>anticongelante y pino no fumar</t>
  </si>
  <si>
    <t>EMPAQUETADURA TAPA VALVULA AVEO</t>
  </si>
  <si>
    <t>2 LITRO 80/90 LS</t>
  </si>
  <si>
    <t>qd32 repuestos</t>
  </si>
  <si>
    <t>aceite mario</t>
  </si>
  <si>
    <t>JUEGO AMORTIGUADOR</t>
  </si>
  <si>
    <t>ROCO</t>
  </si>
  <si>
    <t xml:space="preserve">aceite y filtro wolswagen </t>
  </si>
  <si>
    <t>FABIAN UTRERAS (EL AGUILA)</t>
  </si>
  <si>
    <t xml:space="preserve">BATERIA </t>
  </si>
  <si>
    <t>JOVANI TIO CHINO</t>
  </si>
  <si>
    <t xml:space="preserve">MANTENCION NAVARA </t>
  </si>
  <si>
    <t>FLEXOID</t>
  </si>
  <si>
    <t>FIAT</t>
  </si>
  <si>
    <t>SALDO REPUESTOS  BATERIA PASTILLA LIQU FRENO</t>
  </si>
  <si>
    <t>presupuesto 5434</t>
  </si>
  <si>
    <t xml:space="preserve">LISTO 24/01/23 </t>
  </si>
  <si>
    <t>PREUSPUESTO 5605</t>
  </si>
  <si>
    <t>SALDO SWIFT AXIAL HERMANO</t>
  </si>
  <si>
    <t>platino condensador</t>
  </si>
  <si>
    <t>bujias</t>
  </si>
  <si>
    <t>anticongelante x2</t>
  </si>
  <si>
    <t>JGO BANDEJA AVEO</t>
  </si>
  <si>
    <t>VICTOR VALDERAS</t>
  </si>
  <si>
    <t>MANTENCION KIA RIO 5 (DEV BUJIAS T FTRO AIRE)</t>
  </si>
  <si>
    <t>80W90 TUCSON (2)</t>
  </si>
  <si>
    <t>JG. ROD. QD32</t>
  </si>
  <si>
    <t>cruceta</t>
  </si>
  <si>
    <t>3 80W90</t>
  </si>
  <si>
    <t>PRESUPUESTO 5592</t>
  </si>
  <si>
    <t>PRESUPUESTO 5593</t>
  </si>
  <si>
    <t>PRESUPUESTO 5591</t>
  </si>
  <si>
    <t>PRESUPUESTO 5590 ABONO 14/02 100.000 MONTO ORIGINAL: 130000</t>
  </si>
  <si>
    <t>PRESUPUESTO 5622</t>
  </si>
  <si>
    <t>DEVOLUCION</t>
  </si>
  <si>
    <t>PRESUPUESTO 5516</t>
  </si>
  <si>
    <t>2 juegos amarra metalica</t>
  </si>
  <si>
    <t>AMORTIGUADOR ACCENT (30.000 orig, dcto 15 por rod)</t>
  </si>
  <si>
    <t>COLEGIO RENE SORIANO BORQUEZ</t>
  </si>
  <si>
    <t>BATERIA 90 AMPERES</t>
  </si>
  <si>
    <t>PRESUPUESTO N5521</t>
  </si>
  <si>
    <t>ABONO $50000 22/02/2023</t>
  </si>
  <si>
    <t>abono 50000 22/02/2023</t>
  </si>
  <si>
    <t>PRESUPUESTO 2523</t>
  </si>
  <si>
    <t>PRESUPUESTO N 5629 F. AIRE</t>
  </si>
  <si>
    <t xml:space="preserve">  FECHA</t>
  </si>
  <si>
    <t>juego bujias rc21</t>
  </si>
  <si>
    <t>abono $100000</t>
  </si>
  <si>
    <t>BANDEJA APV</t>
  </si>
  <si>
    <t>presupuesto 5529</t>
  </si>
  <si>
    <t>presupusto 5530</t>
  </si>
  <si>
    <t xml:space="preserve">HUEITRA </t>
  </si>
  <si>
    <t>ABONO $40000 01/03/2023</t>
  </si>
  <si>
    <t xml:space="preserve">jgo bujias platino condensador </t>
  </si>
  <si>
    <t>facturado 06/03/2023</t>
  </si>
  <si>
    <t>pagado 6/03/2023</t>
  </si>
  <si>
    <t>bateria filtro aire foco carro</t>
  </si>
  <si>
    <t>presupuesto 5635</t>
  </si>
  <si>
    <t>presupuesto 5540</t>
  </si>
  <si>
    <t xml:space="preserve">JULIAN GUARDA </t>
  </si>
  <si>
    <t>BOBINA BOMBA AGUA PLATINO Y CONDENSADOR</t>
  </si>
  <si>
    <t xml:space="preserve">SELLA RADIADOR </t>
  </si>
  <si>
    <t>saldo valvula petroleo</t>
  </si>
  <si>
    <t>presupuesto 5543</t>
  </si>
  <si>
    <t>presupuesto 5544</t>
  </si>
  <si>
    <t>ABONO 50000</t>
  </si>
  <si>
    <t>ABONO $40.000</t>
  </si>
  <si>
    <t>CAMBIO ACEITE BETO</t>
  </si>
  <si>
    <t>BUJIAS SANTA FE</t>
  </si>
  <si>
    <t>PRESUPUESTO 5703</t>
  </si>
  <si>
    <t>ABONO 100000</t>
  </si>
  <si>
    <t>presupuesto 5648</t>
  </si>
  <si>
    <t>correa distribucion corolla</t>
  </si>
  <si>
    <t>bateria 55 amperes saldo</t>
  </si>
  <si>
    <t>jg. Pastilla freno</t>
  </si>
  <si>
    <t>presupuesto 5649</t>
  </si>
  <si>
    <t>aceite 5w30 pemco</t>
  </si>
  <si>
    <t xml:space="preserve">repuestos apache </t>
  </si>
  <si>
    <t>CONDENSADOR Y PLATINO</t>
  </si>
  <si>
    <t>VICTOR RAPIDO Y FURIOSO</t>
  </si>
  <si>
    <t>SALDO FOCO</t>
  </si>
  <si>
    <t>amortiguador trasero rb</t>
  </si>
  <si>
    <t>MICHEL NAVARA</t>
  </si>
  <si>
    <t>abono $100,000</t>
  </si>
  <si>
    <t>saldo hijo yaris regalon</t>
  </si>
  <si>
    <t>presupuesto 5663</t>
  </si>
  <si>
    <t>limpiador cuerpo aceleracion</t>
  </si>
  <si>
    <t xml:space="preserve">AMPOLLETA </t>
  </si>
  <si>
    <t>presupuesto 5753</t>
  </si>
  <si>
    <t xml:space="preserve">SALDO 5W/30 </t>
  </si>
  <si>
    <t>PRESUPUESTO 5724</t>
  </si>
  <si>
    <t>saldo juego empaquetadura aereo</t>
  </si>
  <si>
    <t>JGO BUJIAS</t>
  </si>
  <si>
    <t>02/0572023</t>
  </si>
  <si>
    <t>SALDO BATERIA S10</t>
  </si>
  <si>
    <t xml:space="preserve">luz freno carroceria </t>
  </si>
  <si>
    <t xml:space="preserve">repuesto sail americo </t>
  </si>
  <si>
    <t xml:space="preserve">SALDO A FAVOR </t>
  </si>
  <si>
    <t>presupuesto 5668</t>
  </si>
  <si>
    <t>ABONO $100000</t>
  </si>
  <si>
    <t>PRESUPUESTO 5708 SALDO ABONO 100000</t>
  </si>
  <si>
    <t>ANILLOS AEREO</t>
  </si>
  <si>
    <t>BUJIAS S10 CONDICIONAL</t>
  </si>
  <si>
    <t>PRESUPUESTO 5727</t>
  </si>
  <si>
    <t>pistola y limpiainyector</t>
  </si>
  <si>
    <t>jgo pastilla d22</t>
  </si>
  <si>
    <t>presupuesto 5670</t>
  </si>
  <si>
    <t xml:space="preserve">EMPAQUETADURA TAPA VALVULA </t>
  </si>
  <si>
    <t xml:space="preserve">JORGE CEA HERMANO RAUL CEA </t>
  </si>
  <si>
    <t xml:space="preserve">PLUMILLA Y TAPA RADIADOR </t>
  </si>
  <si>
    <t>950348114 FONO</t>
  </si>
  <si>
    <t>ALEMBERTH MORALES</t>
  </si>
  <si>
    <t>CREMALLERA DIRECCION DMAX</t>
  </si>
  <si>
    <t>ATF</t>
  </si>
  <si>
    <t>PRESUPUESTO 5673</t>
  </si>
  <si>
    <t>presupuesto 5735</t>
  </si>
  <si>
    <t>presupuesto 5734</t>
  </si>
  <si>
    <t>mantencion kun lucho</t>
  </si>
  <si>
    <t>aceite y filtro + 2coolant +silicona wurth sail 1,4</t>
  </si>
  <si>
    <t xml:space="preserve">vecino fruteria sra Marta </t>
  </si>
  <si>
    <t>kit embrague alto</t>
  </si>
  <si>
    <t>aceite filtro sonic</t>
  </si>
  <si>
    <t xml:space="preserve">agregar a repuestos toyota </t>
  </si>
  <si>
    <t xml:space="preserve">saldo cremallera </t>
  </si>
  <si>
    <t>abono 50000</t>
  </si>
  <si>
    <t>SALDO BATERIA  ACCENT SAMUEL ALVAREZ</t>
  </si>
  <si>
    <t xml:space="preserve">REPUSETOS ELANTRA </t>
  </si>
  <si>
    <t>presupuesto 5675</t>
  </si>
  <si>
    <t xml:space="preserve">farol kia </t>
  </si>
  <si>
    <t>abono $200,000</t>
  </si>
  <si>
    <t>presupuesto 5741</t>
  </si>
  <si>
    <t>abono $50,000 30/05</t>
  </si>
  <si>
    <t xml:space="preserve">repuestos porter </t>
  </si>
  <si>
    <t>pastilla d21 + liquido freno senfineco</t>
  </si>
  <si>
    <t>PRESUPUESTO 5676</t>
  </si>
  <si>
    <t>PRESTONE</t>
  </si>
  <si>
    <t>presupuesto 5745</t>
  </si>
  <si>
    <t>JAIME DON SADY</t>
  </si>
  <si>
    <t>DEDUDA ANTERIOR LIBRO $62,000</t>
  </si>
  <si>
    <t>PRESUPUESTO 5748</t>
  </si>
  <si>
    <t>MAZA YARIS</t>
  </si>
  <si>
    <t>ABONO $50000 06/06/2023</t>
  </si>
  <si>
    <t>piola acelerador</t>
  </si>
  <si>
    <t>presupuesto 5774</t>
  </si>
  <si>
    <t xml:space="preserve">disco freno </t>
  </si>
  <si>
    <t>PICARON ESCAPE ISUZU</t>
  </si>
  <si>
    <t xml:space="preserve">aceite 75w/90 gl5 ALTO </t>
  </si>
  <si>
    <t>termostato filltro bencina PROTON</t>
  </si>
  <si>
    <t>CILINDRO FRENO</t>
  </si>
  <si>
    <t>MANILLA PUERTA RH</t>
  </si>
  <si>
    <t>ACEITE BUJIAS</t>
  </si>
  <si>
    <t>ABONO $100.000 14/05/2023</t>
  </si>
  <si>
    <t>ABONO $60000</t>
  </si>
  <si>
    <t>ABONO $20000 16/06/2023</t>
  </si>
  <si>
    <t>presupuesto 5664 + liquido refrigerante+ACEITE</t>
  </si>
  <si>
    <t>PRESUPUESTO 5688</t>
  </si>
  <si>
    <t>ANTICONGELNTE X2</t>
  </si>
  <si>
    <t>PRESUPUESTO 5791</t>
  </si>
  <si>
    <t>BULBO FRENO SAIL</t>
  </si>
  <si>
    <t>BATERIA 55 AMPERES  Y SENSOR OXIGENO</t>
  </si>
  <si>
    <t>PASTILLA FRENO</t>
  </si>
  <si>
    <t xml:space="preserve">GRASA Y LIMPIACARBURADOR </t>
  </si>
  <si>
    <t xml:space="preserve">sensor temperatura </t>
  </si>
  <si>
    <t>presupuesto 5700</t>
  </si>
  <si>
    <t>presupuesto 5801</t>
  </si>
  <si>
    <t>liquido refrigerante x5</t>
  </si>
  <si>
    <t>filtro aire y cabina</t>
  </si>
  <si>
    <t>abono  40000</t>
  </si>
  <si>
    <t>PRESUPUESTO 5802</t>
  </si>
  <si>
    <t>ABONO $300,000</t>
  </si>
  <si>
    <t xml:space="preserve">TAPA RADIADOR </t>
  </si>
  <si>
    <t>PRESUPUESTO 5804</t>
  </si>
  <si>
    <t xml:space="preserve">SALDO DISTRIBUCION PEUGEOT </t>
  </si>
  <si>
    <t xml:space="preserve">ACEITE SHELL X2 CATALITICO </t>
  </si>
  <si>
    <t>abono $20000</t>
  </si>
  <si>
    <t>PRESUPUESTO 5813</t>
  </si>
  <si>
    <t>BOBINA+BUJIAS RENAULT $160.000 +SALDO PISTOLA $142.000</t>
  </si>
  <si>
    <t xml:space="preserve">FILTRO FRONTIER </t>
  </si>
  <si>
    <t>TOTAL$197500 ABONO $60000 9/07/2023</t>
  </si>
  <si>
    <t>PAPA DE ENRIQUE ANGULO</t>
  </si>
  <si>
    <t>SALDO ROTULA</t>
  </si>
  <si>
    <t>FACTURA 7629</t>
  </si>
  <si>
    <t xml:space="preserve">PRESTONE </t>
  </si>
  <si>
    <t>aceite y filtro ronald</t>
  </si>
  <si>
    <t>presupuesto 5829</t>
  </si>
  <si>
    <t>presupuesto 5830</t>
  </si>
  <si>
    <t>venta 734</t>
  </si>
  <si>
    <t>2aceite 15w/40 2pote grasa tractor (Bertin)</t>
  </si>
  <si>
    <t>presupuesto 5846</t>
  </si>
  <si>
    <t xml:space="preserve">pastillas freno kun </t>
  </si>
  <si>
    <t>PRESUPUESTO 5847</t>
  </si>
  <si>
    <t>PRESUPUESTO 5848</t>
  </si>
  <si>
    <t>JEREZ (CHUECO BUS NORTE)</t>
  </si>
  <si>
    <t>BATERIA HIJA</t>
  </si>
  <si>
    <t>PRESUPUESTO 5850</t>
  </si>
  <si>
    <t>ABONO $200000</t>
  </si>
  <si>
    <t>PRESUPUESTO 5854</t>
  </si>
  <si>
    <t xml:space="preserve">filtro agua </t>
  </si>
  <si>
    <t>CARDENAS TORNERO (CHICO TIO CHOCHE)</t>
  </si>
  <si>
    <t>SALDO BATERIA 480CCA</t>
  </si>
  <si>
    <t xml:space="preserve">KIT EMBRAGUE CORSA </t>
  </si>
  <si>
    <t xml:space="preserve">rodamiento cardan </t>
  </si>
  <si>
    <t>limpieza inyectores</t>
  </si>
  <si>
    <t>75w/90 litro</t>
  </si>
  <si>
    <t xml:space="preserve">RETEN </t>
  </si>
  <si>
    <t xml:space="preserve">2 COOLANT </t>
  </si>
  <si>
    <t>ABONO$100,000</t>
  </si>
  <si>
    <t xml:space="preserve">pastilla y tps </t>
  </si>
  <si>
    <t>tercera luz ampolleta emp tapa valvula 07/08/2023</t>
  </si>
  <si>
    <t>saldo</t>
  </si>
  <si>
    <t xml:space="preserve">bomba y tapa </t>
  </si>
  <si>
    <t xml:space="preserve">amortiguadores traseros kia </t>
  </si>
  <si>
    <t>SALDO BATERIA Y BUJIAS</t>
  </si>
  <si>
    <t>juego luces h4 osram</t>
  </si>
  <si>
    <t>aceite 5w/30 7litros 2 preston</t>
  </si>
  <si>
    <t>ABONO $14000 23/08/2023</t>
  </si>
  <si>
    <t>RODAMIENTO MAZA DEL</t>
  </si>
  <si>
    <t xml:space="preserve">ACEITE  + FILTROS ELANTRA + CORREA </t>
  </si>
  <si>
    <t xml:space="preserve">ABONO $50.000 29/08 </t>
  </si>
  <si>
    <t xml:space="preserve">TERMINALES </t>
  </si>
  <si>
    <t>saldo kit distribucion</t>
  </si>
  <si>
    <t>presupuesto 5894</t>
  </si>
  <si>
    <t>saldo optico</t>
  </si>
  <si>
    <t xml:space="preserve">ALVARO CARRILLO </t>
  </si>
  <si>
    <t>SALDO KIT EMBRAGUE</t>
  </si>
  <si>
    <t>CORREA A-37</t>
  </si>
  <si>
    <t xml:space="preserve">CEBADORA KOREANA </t>
  </si>
  <si>
    <t>ABONO $30000 06/09/2023</t>
  </si>
  <si>
    <t>PRESUPUESTO 5902</t>
  </si>
  <si>
    <t>CORREA ARTIZ</t>
  </si>
  <si>
    <t>ACEITE 80W/90 HILUX</t>
  </si>
  <si>
    <t>PRESTONE 2 CHERY + RETEN</t>
  </si>
  <si>
    <t>ROTULA NAVARA</t>
  </si>
  <si>
    <t>SRA NELLY FURGON</t>
  </si>
  <si>
    <t>CAZOLETA X2</t>
  </si>
  <si>
    <t>AMORTIGUADORES DELANTERO</t>
  </si>
  <si>
    <t>AXIAL DIRECCION X2</t>
  </si>
  <si>
    <t>presupuesto 5911</t>
  </si>
  <si>
    <t xml:space="preserve">sensor oxigeno </t>
  </si>
  <si>
    <t>aceite filtro peugeot; filtro aceite toyota</t>
  </si>
  <si>
    <t>manilla puerta lh</t>
  </si>
  <si>
    <t>filtro aire tapa radiador</t>
  </si>
  <si>
    <t xml:space="preserve">tapa radiador </t>
  </si>
  <si>
    <t>listo 15/09/2023</t>
  </si>
  <si>
    <t>CRISTIAN SANTANA (PAILA)</t>
  </si>
  <si>
    <t>PRESUPUESTO 5919</t>
  </si>
  <si>
    <t xml:space="preserve">prestone </t>
  </si>
  <si>
    <t>liquido rojo x2</t>
  </si>
  <si>
    <t>bateria 90amp rocket alcalde</t>
  </si>
  <si>
    <t>presupuesto 5923</t>
  </si>
  <si>
    <t>presupuesto 5924</t>
  </si>
  <si>
    <t>presupuesto 5925</t>
  </si>
  <si>
    <t xml:space="preserve">jgo pastilla freno </t>
  </si>
  <si>
    <t>mantencion baleno</t>
  </si>
  <si>
    <t>abono $30000</t>
  </si>
  <si>
    <t>CAMBIO DE ACEITE TERRANO TOSCO</t>
  </si>
  <si>
    <t xml:space="preserve">PONCHO </t>
  </si>
  <si>
    <t>SELLADOR RADIADOR</t>
  </si>
  <si>
    <t>BOMBA BENCINA</t>
  </si>
  <si>
    <t>GALON ANTICONGELANTE</t>
  </si>
  <si>
    <t>bateria 55 amperes</t>
  </si>
  <si>
    <t>jgo valvulas 323 liquido freno</t>
  </si>
  <si>
    <t>jgo empaquetadura 323</t>
  </si>
  <si>
    <t>filtro aceite y correa sportage</t>
  </si>
  <si>
    <t>turbo d4cb</t>
  </si>
  <si>
    <t>inzumo taller cambio de aceite ram</t>
  </si>
  <si>
    <t>balancin eje balancin aceite y filtro</t>
  </si>
  <si>
    <t>CESAR CARDENAS</t>
  </si>
  <si>
    <t>ALTO</t>
  </si>
  <si>
    <t>VICTOR GUTTIERREZ (TIO PABLO)</t>
  </si>
  <si>
    <t>abono 16/10</t>
  </si>
  <si>
    <t>75w90 gl5 3lts</t>
  </si>
  <si>
    <t>PASTILLA FRENO BANDEJA X2</t>
  </si>
  <si>
    <t>BORIS MANCILLA (CACHETE)</t>
  </si>
  <si>
    <t>PRESUPUESTO 5944</t>
  </si>
  <si>
    <t>PLUMILLA 20"  AMPOLLETA H4 COOL BLUE</t>
  </si>
  <si>
    <t>EMP.TAPA VALILA ;2ATF;HORQUILLA;SEGURO HORQUILLA</t>
  </si>
  <si>
    <t>VICTOR MUÑOZ PEREZ (HUEITRA)</t>
  </si>
  <si>
    <t>SALDO AMORTIGUADORES BALENO</t>
  </si>
  <si>
    <t>AMORTIGUADORES DELANTEROS BUJES  Y PTA</t>
  </si>
  <si>
    <t>saldo daewo</t>
  </si>
  <si>
    <t>presupuesto 5938</t>
  </si>
  <si>
    <t>presupuesto 5951</t>
  </si>
  <si>
    <t xml:space="preserve">BOMBA AGUA + COOLANT </t>
  </si>
  <si>
    <t>ABONO $30000 24/10</t>
  </si>
  <si>
    <t>kit embrague reten trasero</t>
  </si>
  <si>
    <t>DON JAIME GALLARDO PUCA</t>
  </si>
  <si>
    <t xml:space="preserve">TAMBOR FRENO PATINES </t>
  </si>
  <si>
    <t xml:space="preserve">jeep coolant </t>
  </si>
  <si>
    <t xml:space="preserve">bomba embrague y liquido freno </t>
  </si>
  <si>
    <t>jgo empaquetadura celerio</t>
  </si>
  <si>
    <t>detalle 868</t>
  </si>
  <si>
    <t>ESTEBAN FARSO</t>
  </si>
  <si>
    <t>MANTENCION KUN(CAJA HERRAMIENTAS)</t>
  </si>
  <si>
    <t xml:space="preserve">KIT EMBRAGUE </t>
  </si>
  <si>
    <t xml:space="preserve">PERNO PUNTA BARRA TORSION </t>
  </si>
  <si>
    <t xml:space="preserve">BANDEJA CORSA </t>
  </si>
  <si>
    <t>aceite y filtros</t>
  </si>
  <si>
    <t>rodamiento maza dahiatsu</t>
  </si>
  <si>
    <t>bobina</t>
  </si>
  <si>
    <t>ACEITE TUCSON</t>
  </si>
  <si>
    <t>S/B</t>
  </si>
  <si>
    <t>ACEITE FILTROS YARIS HIJO</t>
  </si>
  <si>
    <t>BANDEJA 2RODAMIENTO</t>
  </si>
  <si>
    <t>aceite y un filtro subaru</t>
  </si>
  <si>
    <t xml:space="preserve">FILTRO AIRE KUN </t>
  </si>
  <si>
    <t>PRESUPUESTO 5952</t>
  </si>
  <si>
    <t>aceite penco 7 LITROS saldo</t>
  </si>
  <si>
    <t>diferencia disco y pastilla $38000  21/11/2023</t>
  </si>
  <si>
    <t>ADITIVO FUGA DIRECCION BMW</t>
  </si>
  <si>
    <t>ADITIVO FUGA DIRECCION SANTA FE</t>
  </si>
  <si>
    <t>4 SELLO DE AGUA</t>
  </si>
  <si>
    <t>RODAMIENTO Y HORQUILLA EMBRAGUE YD25 MACACO</t>
  </si>
  <si>
    <t xml:space="preserve">BBA AGUA KIA </t>
  </si>
  <si>
    <t>VECINO GAS MOLL</t>
  </si>
  <si>
    <t xml:space="preserve">4 SELLO DE AGUA </t>
  </si>
  <si>
    <t>disco freno empaquetadura media</t>
  </si>
  <si>
    <t>aditivo LIMPIACONTACTO</t>
  </si>
  <si>
    <t>ABONO $50000</t>
  </si>
  <si>
    <t xml:space="preserve">SALDO ESPEJO </t>
  </si>
  <si>
    <t>filtro aceite agua celerio</t>
  </si>
  <si>
    <t>abono venta bandeja $6000 ABONO$ BOMBA IGNIS</t>
  </si>
  <si>
    <t xml:space="preserve">pastilla y bujias </t>
  </si>
  <si>
    <t>termostato celerio</t>
  </si>
  <si>
    <t>liquido freno dot 4 celerio</t>
  </si>
  <si>
    <t>aceite y agua roja fiat ram</t>
  </si>
  <si>
    <t>presupuesto 5983</t>
  </si>
  <si>
    <t>CREMALLERA +TERMINALES +ATF KB4</t>
  </si>
  <si>
    <t xml:space="preserve">BATERIA 90 AMP </t>
  </si>
  <si>
    <t xml:space="preserve"> FLOTADOR LUV</t>
  </si>
  <si>
    <t>rotula superior inferior pastilla limpiacontacto</t>
  </si>
  <si>
    <t>CABLES BUJIAS MORNING</t>
  </si>
  <si>
    <t>PATINES Y PASTILLA FRENO</t>
  </si>
  <si>
    <t>SILICONA WURT</t>
  </si>
  <si>
    <t>KIT DISTRIBUCION BBA AGUA SALDO</t>
  </si>
  <si>
    <t>BOMBA EMBRAGUE YD25</t>
  </si>
  <si>
    <t>SENSOR OXIGENO WINGLE</t>
  </si>
  <si>
    <t>ABRAZADERA  POTE GRASA</t>
  </si>
  <si>
    <t>FORD</t>
  </si>
  <si>
    <t>ACEITE 15W/50 Y REFRIGERANTE</t>
  </si>
  <si>
    <t>ALTERNADOR Y EMPAQUETADURA TAPA</t>
  </si>
  <si>
    <t>cilindro freno suzuki 2</t>
  </si>
  <si>
    <t xml:space="preserve">MAZDA 3 </t>
  </si>
  <si>
    <t>ABONO $30000  9/12/2023</t>
  </si>
  <si>
    <t>MAZA V16</t>
  </si>
  <si>
    <t>abono $30000 01/12/2023  $25000 19/12/2023</t>
  </si>
  <si>
    <t>PASTILLA Y 2 H7</t>
  </si>
  <si>
    <t xml:space="preserve">BUJIAS Y FILTRO ELANTRA </t>
  </si>
  <si>
    <t>BBA BENCINA</t>
  </si>
  <si>
    <t>abono $34000 21/12/2023</t>
  </si>
  <si>
    <t>TRACKER</t>
  </si>
  <si>
    <t>ceramol</t>
  </si>
  <si>
    <t>3 GALON ANTICONGELANTE RUBICOM</t>
  </si>
  <si>
    <t>RODAMIENTO MAZA DAEWO SKF</t>
  </si>
  <si>
    <t xml:space="preserve">ACEITE MOBIL </t>
  </si>
  <si>
    <t>platino y condensador</t>
  </si>
  <si>
    <t>jgo empa. Ignis</t>
  </si>
  <si>
    <t>jgo empa. Maruti</t>
  </si>
  <si>
    <t>AMORTIGUADORES QUASQUAI</t>
  </si>
  <si>
    <t>BIELETA QUASQUAI</t>
  </si>
  <si>
    <t>CAZOLETA QUASQUAI</t>
  </si>
  <si>
    <t>bandeja accent 2018</t>
  </si>
  <si>
    <t>CORREA 3PK-510</t>
  </si>
  <si>
    <t>bieleta goma accent 2006</t>
  </si>
  <si>
    <t>BUJIAS CABLE FILTRO DAEWO</t>
  </si>
  <si>
    <t>cruceta$20 filtro$10 correa$225 navara</t>
  </si>
  <si>
    <t>presupuesto 6042</t>
  </si>
  <si>
    <t>ROST OFF</t>
  </si>
  <si>
    <t>PRESUPUESTO 6054</t>
  </si>
  <si>
    <t>ABONO60000</t>
  </si>
  <si>
    <t>rotula terminal</t>
  </si>
  <si>
    <t>h1 ampo. Amarilo cola pescado</t>
  </si>
  <si>
    <t>PITO FLORES OVEJERIA</t>
  </si>
  <si>
    <t>TAPA VALVULA +TAPA EXPASION</t>
  </si>
  <si>
    <t>LIMPIEZA inyectores</t>
  </si>
  <si>
    <t>VECTON LITRO 7 FILTRO CAEITE RONALD</t>
  </si>
  <si>
    <t xml:space="preserve">aveo bba bencina </t>
  </si>
  <si>
    <t>sensor oxigeno jimny</t>
  </si>
  <si>
    <t>SERGIO CARRILLO</t>
  </si>
  <si>
    <t>ACEITE Y FILTRO SUPER</t>
  </si>
  <si>
    <t>XTRAIL FILT POLEN</t>
  </si>
  <si>
    <t>MAZA V 16</t>
  </si>
  <si>
    <t>ABONO10000005/02/2024</t>
  </si>
  <si>
    <t>luis marchant</t>
  </si>
  <si>
    <t>sensor temp</t>
  </si>
  <si>
    <t>4 sellos de 35</t>
  </si>
  <si>
    <t>2 sellos de 40</t>
  </si>
  <si>
    <t>masa de mg</t>
  </si>
  <si>
    <t>rodamiento mg</t>
  </si>
  <si>
    <t>aceite 10w/30</t>
  </si>
  <si>
    <t>bateria 90</t>
  </si>
  <si>
    <t>pastillasa yaris</t>
  </si>
  <si>
    <t>pastillas de frenos kia</t>
  </si>
  <si>
    <t>limpiacontacto</t>
  </si>
  <si>
    <t xml:space="preserve">  </t>
  </si>
  <si>
    <t>alzaespiral</t>
  </si>
  <si>
    <t>PRESUPUESTO 006075</t>
  </si>
  <si>
    <t>2 REFRIGERANTES</t>
  </si>
  <si>
    <t>presupuesto galloper 6077</t>
  </si>
  <si>
    <t>efectivo16-02-2024</t>
  </si>
  <si>
    <t>presupuesto 6103</t>
  </si>
  <si>
    <t>abono 100000</t>
  </si>
  <si>
    <t>bomba bencina y bujias</t>
  </si>
  <si>
    <t xml:space="preserve">electroventilador </t>
  </si>
  <si>
    <t>rost of</t>
  </si>
  <si>
    <t>factura 8062</t>
  </si>
  <si>
    <t>aceite porter-afi d21 FOCO ESQ. D21</t>
  </si>
  <si>
    <t>aceite 5 litros 5w/30</t>
  </si>
  <si>
    <t>cuña jimny</t>
  </si>
  <si>
    <t>filtro aire b2500</t>
  </si>
  <si>
    <t>presupuesto 6108</t>
  </si>
  <si>
    <t>cuceta europcar</t>
  </si>
  <si>
    <t>berlingo kit embrague</t>
  </si>
  <si>
    <t>disco ronald sail</t>
  </si>
  <si>
    <t>empaquetadura multiple</t>
  </si>
  <si>
    <t>presupuesto 6085</t>
  </si>
  <si>
    <t>cazoleta delantera derecha</t>
  </si>
  <si>
    <t>aceite 5w/30 edge</t>
  </si>
  <si>
    <t>ABRAZADERAS</t>
  </si>
  <si>
    <t>aceite 15w/40 filtro cambio extendido</t>
  </si>
  <si>
    <t>filtro aire h1</t>
  </si>
  <si>
    <t>BELOMOIDE JINMY</t>
  </si>
  <si>
    <t xml:space="preserve">kit embrague </t>
  </si>
  <si>
    <t xml:space="preserve">PEGATANKE </t>
  </si>
  <si>
    <t>plumillas suzuki</t>
  </si>
  <si>
    <t>plumilla trasera suzuki</t>
  </si>
  <si>
    <t xml:space="preserve">LIQUIDO FRENO </t>
  </si>
  <si>
    <t xml:space="preserve">RODAMIENTO EMBRAGUE </t>
  </si>
  <si>
    <t>aforador mazda 3 saldo</t>
  </si>
  <si>
    <t>DEUDA ANTERIOR LIBRO $107,000</t>
  </si>
  <si>
    <t>ROTULA SUPERIOR HILUX</t>
  </si>
  <si>
    <t>ACEITE Y FILTRO JIMNY</t>
  </si>
  <si>
    <t>presupuesto 6130</t>
  </si>
  <si>
    <t>fuelle yaris</t>
  </si>
  <si>
    <t xml:space="preserve">aceite 20w50 </t>
  </si>
  <si>
    <t xml:space="preserve">JGO BUJIAS SAMURAI + REFRIGERANTE+ACEITE </t>
  </si>
  <si>
    <t xml:space="preserve">saldo kit embrague </t>
  </si>
  <si>
    <t>Samuel falabella</t>
  </si>
  <si>
    <t xml:space="preserve">mantencion baleno </t>
  </si>
  <si>
    <t>sensor corsa</t>
  </si>
  <si>
    <t xml:space="preserve">TERMINAL DIRECCION </t>
  </si>
  <si>
    <t>FLEXIBLE DEPRESOR</t>
  </si>
  <si>
    <t>JABON</t>
  </si>
  <si>
    <t>aceite 20w/50 galon</t>
  </si>
  <si>
    <t xml:space="preserve">MANTENCION KIA RIO </t>
  </si>
  <si>
    <t>EMPAQUETADURA CULATA Y TAPA VALVULA 1Y</t>
  </si>
  <si>
    <t>ACEITE TRAKET</t>
  </si>
  <si>
    <t>mantencion tucson</t>
  </si>
  <si>
    <t>quasquai grasa abrazadera</t>
  </si>
  <si>
    <t>abono $50,000 09/04/2024</t>
  </si>
  <si>
    <t>saldo piola empaquetadura</t>
  </si>
  <si>
    <t>HERMANO DE HUGO</t>
  </si>
  <si>
    <t>coolan</t>
  </si>
  <si>
    <t>PRESUPUESTO 6206</t>
  </si>
  <si>
    <t>COOLANT</t>
  </si>
  <si>
    <t>SALDO L300</t>
  </si>
  <si>
    <t>abono $50000  19/04/2024</t>
  </si>
  <si>
    <t>ABONO 50000 19/04/2024</t>
  </si>
  <si>
    <t>$100,000</t>
  </si>
  <si>
    <t>$56,000</t>
  </si>
  <si>
    <t>MANTENCION SAIL AMERICANO 1,5</t>
  </si>
  <si>
    <t>embrague n300</t>
  </si>
  <si>
    <t>jgo amortiguadores ignis</t>
  </si>
  <si>
    <t>bomba cebadora pera</t>
  </si>
  <si>
    <t>suzuki gran nomade</t>
  </si>
  <si>
    <t xml:space="preserve">WILY SABOR </t>
  </si>
  <si>
    <t>BATERIA AMIGA HIJA</t>
  </si>
  <si>
    <t>KIT EMBRAGUE H100</t>
  </si>
  <si>
    <t>SN /F</t>
  </si>
  <si>
    <t xml:space="preserve">Aceite federal maxus +filtro </t>
  </si>
  <si>
    <t xml:space="preserve">COOPER </t>
  </si>
  <si>
    <t>BATERIA 90AMPERES POSITIVO LH</t>
  </si>
  <si>
    <t>presupuesto 6214</t>
  </si>
  <si>
    <t xml:space="preserve">saldo bateria amigo </t>
  </si>
  <si>
    <t>LEONEL VELOZO (TRIBILIN)</t>
  </si>
  <si>
    <t>CILINDRO Y LIQUIDO</t>
  </si>
  <si>
    <t>aceite +filtro</t>
  </si>
  <si>
    <t>jgo extremo kun (RONALD)</t>
  </si>
  <si>
    <t>bieleta tucson</t>
  </si>
  <si>
    <t xml:space="preserve">rost off y 2 ampolleta </t>
  </si>
  <si>
    <t>lican piscicultura</t>
  </si>
  <si>
    <t xml:space="preserve">aceite 10w/40 y filtro </t>
  </si>
  <si>
    <t>fltro aceite + 1 litro cambio extendido</t>
  </si>
  <si>
    <t xml:space="preserve">filtro cabina </t>
  </si>
  <si>
    <t>LIQUIDO REFRIGERANTE X2</t>
  </si>
  <si>
    <t>BARRA CENTRAL JGO TERMINALES D22 4X4</t>
  </si>
  <si>
    <t xml:space="preserve">abrillantador foco </t>
  </si>
  <si>
    <t>luv</t>
  </si>
  <si>
    <t>accent</t>
  </si>
  <si>
    <t>seguro rodamiento maza</t>
  </si>
  <si>
    <t>rodamiento maza y seguro</t>
  </si>
  <si>
    <t>jgo bujias rc21</t>
  </si>
  <si>
    <t>presupuesto 5254</t>
  </si>
  <si>
    <t>CENTRIFUGO $60000+ BUJIAS $20,000 +15000</t>
  </si>
  <si>
    <t>presupuesto 6226</t>
  </si>
  <si>
    <t>presupuesto 6227</t>
  </si>
  <si>
    <t>ACEITE + FILTRO (hijo)</t>
  </si>
  <si>
    <t>EMPAQU, TAPA VALVULA SPARK</t>
  </si>
  <si>
    <t>PRESUPUESTO 6213</t>
  </si>
  <si>
    <t>ABONO $150000</t>
  </si>
  <si>
    <t>KIT EMBRAGUE LUV 2,2</t>
  </si>
  <si>
    <t>aceite 15w/40 6lts</t>
  </si>
  <si>
    <t>liquido freno maxus</t>
  </si>
  <si>
    <t>brazo auxiliar d22 4x4</t>
  </si>
  <si>
    <t>cruceta cardan x3</t>
  </si>
  <si>
    <t>presupuesto 6263</t>
  </si>
  <si>
    <t>presupuesto 6266</t>
  </si>
  <si>
    <t>acite 28500 15w/40</t>
  </si>
  <si>
    <t xml:space="preserve">chery tiggo </t>
  </si>
  <si>
    <t>bieleta elantra x2</t>
  </si>
  <si>
    <t>bieleta ford x2</t>
  </si>
  <si>
    <t>cambio por pastilla freno quasquai</t>
  </si>
  <si>
    <t>JORGEN VEGA</t>
  </si>
  <si>
    <t>BATERIA 45 AMPERES</t>
  </si>
  <si>
    <t>aceite y filtro  refrigerante</t>
  </si>
  <si>
    <t>bateria 55 amp</t>
  </si>
  <si>
    <t xml:space="preserve">abono $8000 </t>
  </si>
  <si>
    <t>buje,bandeja superior,terminales terrano</t>
  </si>
  <si>
    <t>Ronald</t>
  </si>
  <si>
    <t>terminal y filtro petroleo porter</t>
  </si>
  <si>
    <t>devuelto</t>
  </si>
  <si>
    <t>presupuesto 6274</t>
  </si>
  <si>
    <t>radiador spark</t>
  </si>
  <si>
    <t>kit distribucion baleno</t>
  </si>
  <si>
    <t>abono $50000 26/06/2024</t>
  </si>
  <si>
    <t>$50.000</t>
  </si>
  <si>
    <t xml:space="preserve">aceite +filtro + pastillas baleno </t>
  </si>
  <si>
    <t>cooper</t>
  </si>
  <si>
    <t xml:space="preserve">filtro aire y bornes bateria </t>
  </si>
  <si>
    <t>bieleta h1</t>
  </si>
  <si>
    <t>correa ventilador 6pk1513</t>
  </si>
  <si>
    <t xml:space="preserve">ATF </t>
  </si>
  <si>
    <t>aceite+aromatizante</t>
  </si>
  <si>
    <t>jgo bujias corolla</t>
  </si>
  <si>
    <t>homocinetica y rodamiento</t>
  </si>
  <si>
    <t xml:space="preserve">afinamiento sail </t>
  </si>
  <si>
    <t>abono 40000</t>
  </si>
  <si>
    <t>MAESTRO MOLINA (HERMANO)</t>
  </si>
  <si>
    <t>CAMBIO ACEITE CMTA RONALD</t>
  </si>
  <si>
    <t xml:space="preserve">PRESUPUESTO 6289 ELANTRA </t>
  </si>
  <si>
    <t>2filtro 1desengrasante</t>
  </si>
  <si>
    <t xml:space="preserve">acero liquido </t>
  </si>
  <si>
    <t>homocinetica</t>
  </si>
  <si>
    <t xml:space="preserve">abono $40.000 17/05/2024 </t>
  </si>
  <si>
    <t>abono al turbo $40,000 15/07/2024</t>
  </si>
  <si>
    <t>SALDO PRESUPUESTO 6293</t>
  </si>
  <si>
    <t>MANTENCION 5L</t>
  </si>
  <si>
    <t>PRESUPUESTO 6311</t>
  </si>
  <si>
    <t>filtro yaris</t>
  </si>
  <si>
    <t>TRAMOLAO</t>
  </si>
  <si>
    <t xml:space="preserve">RODAMIENTO RUEDA </t>
  </si>
  <si>
    <t>bobina yaris</t>
  </si>
  <si>
    <t xml:space="preserve">cremallera sail </t>
  </si>
  <si>
    <t>CAMBIO VECTON CON FILTRO</t>
  </si>
  <si>
    <t>sello dea gaua rost of silicona</t>
  </si>
  <si>
    <t>articulacion palanca cambio OPTRA+BOMBAYFILTRO+emp. Tapa valvula</t>
  </si>
  <si>
    <t xml:space="preserve">SALDO EXTREMO HOMOCINETICA </t>
  </si>
  <si>
    <t>BOMBA Y PATINES FRENO +LIQUIDO FRENO</t>
  </si>
  <si>
    <t>PRESUPUESTO 6328</t>
  </si>
  <si>
    <t>PRESUPUESTO 6325</t>
  </si>
  <si>
    <t>aceite tucson</t>
  </si>
  <si>
    <t>yerson carrillo</t>
  </si>
  <si>
    <t>rodamiento maruti</t>
  </si>
  <si>
    <t>amortiguador portalon h1</t>
  </si>
  <si>
    <t>aceite jac</t>
  </si>
  <si>
    <t xml:space="preserve">saldo suspension h1 </t>
  </si>
  <si>
    <t xml:space="preserve">correa y bomba </t>
  </si>
  <si>
    <t>BOMBA AGUA LICAN</t>
  </si>
  <si>
    <t>REPUESTOS LUV 2,2</t>
  </si>
  <si>
    <t>EJE LEVA BALANCIN</t>
  </si>
  <si>
    <t>silicona loctite</t>
  </si>
  <si>
    <t xml:space="preserve">CAJA DIRECCION </t>
  </si>
  <si>
    <t>abono huevo 29/08/2024 $8000+8000 03/08</t>
  </si>
  <si>
    <t>soporte cardan hilux lican</t>
  </si>
  <si>
    <t>kit distribucion rost off aceite 20w/50</t>
  </si>
  <si>
    <t>sensor t termostato accent</t>
  </si>
  <si>
    <t>presupuesto 6363</t>
  </si>
  <si>
    <t>cruceta lican x3</t>
  </si>
  <si>
    <t>correa a27</t>
  </si>
  <si>
    <t>SENSOR POSICION+ BUJIAS OPTRA</t>
  </si>
  <si>
    <t>refrigerante ALTO</t>
  </si>
  <si>
    <t>piola freno mano lh kun RONALD</t>
  </si>
  <si>
    <t>OPTRA SENSOR OXIGENO Y LUCES</t>
  </si>
  <si>
    <t>2 OPTICO TERRANO RONALD</t>
  </si>
  <si>
    <t xml:space="preserve">tapa suzuki alto + CABLE BUJIAS </t>
  </si>
  <si>
    <t>PRESUPUESTO 6339</t>
  </si>
  <si>
    <t xml:space="preserve">liquido freno </t>
  </si>
  <si>
    <t>abono $50000 25/09</t>
  </si>
  <si>
    <t>silicona loctite negra tracket</t>
  </si>
  <si>
    <t>refrigerante</t>
  </si>
  <si>
    <t>ABONO $50000 2/10/2024</t>
  </si>
  <si>
    <t>PRESUPUESTO 6342 SORENTO</t>
  </si>
  <si>
    <t>TERMINALES 301</t>
  </si>
  <si>
    <t xml:space="preserve">ACEITE 20W/50 PRUEBA CORRIENTE </t>
  </si>
  <si>
    <t>saldo bateria hijo</t>
  </si>
  <si>
    <t>JUAN OSORIO</t>
  </si>
  <si>
    <t>PRESUPUESTO 6304</t>
  </si>
  <si>
    <t xml:space="preserve">PRESUPUESTO </t>
  </si>
  <si>
    <t>VILLA PANADERIA</t>
  </si>
  <si>
    <t>100000+50000</t>
  </si>
  <si>
    <t>MAZA CAZO+BATERIA</t>
  </si>
  <si>
    <t>ACEITE R3</t>
  </si>
  <si>
    <t xml:space="preserve">aceite y filtro mazda </t>
  </si>
  <si>
    <t>bomba embrague liquido freno</t>
  </si>
  <si>
    <t>MATIAS PROFESIONAL</t>
  </si>
  <si>
    <t xml:space="preserve">SALDO AMORTIGUADOR </t>
  </si>
  <si>
    <t>turbo+BATERIA 55</t>
  </si>
  <si>
    <t>SORENTO</t>
  </si>
  <si>
    <t>presupuesto 6420</t>
  </si>
  <si>
    <t xml:space="preserve">RONALD </t>
  </si>
  <si>
    <t>abono 45000</t>
  </si>
  <si>
    <t>presupuesto 6418 RONALD MG</t>
  </si>
  <si>
    <t>25000+4000+17000+7000+5000+11000</t>
  </si>
  <si>
    <t>bomba +liquido freno+sceite 20w/50+ceramol+BULBO AC+DIF. EMPA CARRY</t>
  </si>
  <si>
    <t>PRESUPUESTO 6424</t>
  </si>
  <si>
    <t>f-8822</t>
  </si>
  <si>
    <t>presupuesto 6428 bieleta prado</t>
  </si>
  <si>
    <t>presupuesto 6395</t>
  </si>
  <si>
    <t xml:space="preserve">litro aceite </t>
  </si>
  <si>
    <t xml:space="preserve">2 ampolleta </t>
  </si>
  <si>
    <t>silicona loctitex2</t>
  </si>
  <si>
    <t xml:space="preserve">bujes biela </t>
  </si>
  <si>
    <t>guias valvula nkr</t>
  </si>
  <si>
    <t>aflojatodo</t>
  </si>
  <si>
    <t>huincha aisladora</t>
  </si>
  <si>
    <t>liquimoly</t>
  </si>
  <si>
    <t>rostoff</t>
  </si>
  <si>
    <t>pistones caliper x2</t>
  </si>
  <si>
    <t>jgo rodamiento maza x2</t>
  </si>
  <si>
    <t>homocinetica x1</t>
  </si>
  <si>
    <t>rotula inferior x2</t>
  </si>
  <si>
    <t xml:space="preserve">repuesto </t>
  </si>
  <si>
    <t xml:space="preserve">SAIL 1,4 </t>
  </si>
  <si>
    <t>mantencion camta ronal</t>
  </si>
  <si>
    <t>FAROL ESQUINA AMPOLLETA</t>
  </si>
  <si>
    <t>aceite filtro celerio</t>
  </si>
  <si>
    <t>ronald</t>
  </si>
  <si>
    <t>PIRLO</t>
  </si>
  <si>
    <t>presupuesto 6421+ADITIVO PETROLEO INYECTORES</t>
  </si>
  <si>
    <t>EMPAQUETADURA CULATA ORIGINAL</t>
  </si>
  <si>
    <t>ALSACIA</t>
  </si>
  <si>
    <t xml:space="preserve">DELGADO CABALLO </t>
  </si>
  <si>
    <t>SALDO REPUESTOS+mascara</t>
  </si>
  <si>
    <t>atf</t>
  </si>
  <si>
    <t>ROTULA</t>
  </si>
  <si>
    <t>abono $160000</t>
  </si>
  <si>
    <t>abono $10000 5/12/2024</t>
  </si>
  <si>
    <t>50000+193000</t>
  </si>
  <si>
    <t>abono $100000 06/12/2024</t>
  </si>
  <si>
    <t>abono $45000 11/12/2024</t>
  </si>
  <si>
    <t>RETEN TRASERO</t>
  </si>
  <si>
    <t xml:space="preserve">RETEN DELANTERO </t>
  </si>
  <si>
    <t xml:space="preserve">ACEITE 5W/30 7litros </t>
  </si>
  <si>
    <t xml:space="preserve">FILTRO ACEITE  </t>
  </si>
  <si>
    <t>CORREA 7PK1020</t>
  </si>
  <si>
    <t>4 RETEN INYECTORES</t>
  </si>
  <si>
    <t>13000+65000</t>
  </si>
  <si>
    <t>amortiguadores traseros vivant</t>
  </si>
  <si>
    <t xml:space="preserve">aceite + filtro </t>
  </si>
  <si>
    <t>saldo compra tarjeta</t>
  </si>
  <si>
    <t>empaquetadura culata</t>
  </si>
  <si>
    <t>filtro aceite</t>
  </si>
  <si>
    <t>jgo bujias filtro</t>
  </si>
  <si>
    <t>rodamiento sacaperno</t>
  </si>
  <si>
    <t>saldo a favor $27500</t>
  </si>
  <si>
    <t xml:space="preserve">RETEN SUZUKI  </t>
  </si>
  <si>
    <t xml:space="preserve">DISCO FRENO Y PASTILLA </t>
  </si>
  <si>
    <t>JONATHAN ESTAY</t>
  </si>
  <si>
    <t>VECTON X2 FILTRO</t>
  </si>
  <si>
    <t>REFRIGERANTE PEUGEOT</t>
  </si>
  <si>
    <t xml:space="preserve">PASTILLA FRENO SPARK </t>
  </si>
  <si>
    <t>cuerpo mariposa optra</t>
  </si>
  <si>
    <t>cbles tucson Ronald</t>
  </si>
  <si>
    <t>saldo aceite</t>
  </si>
  <si>
    <t>jgo patines sail</t>
  </si>
  <si>
    <t>jgo bujias fr7dcx</t>
  </si>
  <si>
    <t xml:space="preserve">rodamiento del sail </t>
  </si>
  <si>
    <t xml:space="preserve">SALDO LOCTITE Y ACEITE </t>
  </si>
  <si>
    <t>PROMo limpia+promo+B</t>
  </si>
  <si>
    <t>164000+45000+199000</t>
  </si>
  <si>
    <t>SALDO PARIENTE 09/01/2025</t>
  </si>
  <si>
    <t xml:space="preserve">ACEITES 75W90 + ATF </t>
  </si>
  <si>
    <t>LISTO</t>
  </si>
  <si>
    <t>bateria morning</t>
  </si>
  <si>
    <t>3 aceite 80w/90</t>
  </si>
  <si>
    <t>presupuesto 6529</t>
  </si>
  <si>
    <t>25000+37000+10000+22000</t>
  </si>
  <si>
    <t>repuestos mitsubishi</t>
  </si>
  <si>
    <t>repuestos navara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</si>
</sst>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340A]\ * #,##0_-;\-[$$-340A]\ * #,##0_-;_-[$$-340A]\ 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 val="singleAccounting"/>
      <sz val="11"/>
      <color theme="1"/>
      <name val="Calibri"/>
      <family val="2"/>
      <scheme val="minor"/>
    </font>
    <font>
      <u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2" fillId="0" borderId="3" xfId="1" applyBorder="1" applyAlignment="1" applyProtection="1"/>
    <xf numFmtId="164" fontId="0" fillId="0" borderId="0" xfId="0" applyNumberFormat="1"/>
    <xf numFmtId="0" fontId="0" fillId="2" borderId="4" xfId="0" applyFill="1" applyBorder="1"/>
    <xf numFmtId="164" fontId="0" fillId="2" borderId="4" xfId="0" applyNumberFormat="1" applyFill="1" applyBorder="1"/>
    <xf numFmtId="0" fontId="0" fillId="3" borderId="0" xfId="0" applyFill="1"/>
    <xf numFmtId="0" fontId="0" fillId="2" borderId="5" xfId="0" applyFill="1" applyBorder="1"/>
    <xf numFmtId="164" fontId="0" fillId="2" borderId="5" xfId="0" applyNumberFormat="1" applyFill="1" applyBorder="1"/>
    <xf numFmtId="0" fontId="0" fillId="0" borderId="0" xfId="0" applyFill="1"/>
    <xf numFmtId="0" fontId="2" fillId="0" borderId="0" xfId="1" applyAlignment="1" applyProtection="1"/>
    <xf numFmtId="0" fontId="0" fillId="0" borderId="0" xfId="0" applyFill="1" applyBorder="1"/>
    <xf numFmtId="14" fontId="0" fillId="0" borderId="0" xfId="0" quotePrefix="1" applyNumberFormat="1"/>
    <xf numFmtId="164" fontId="1" fillId="2" borderId="2" xfId="0" applyNumberFormat="1" applyFont="1" applyFill="1" applyBorder="1"/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164" fontId="3" fillId="0" borderId="0" xfId="0" applyNumberFormat="1" applyFont="1"/>
    <xf numFmtId="16" fontId="0" fillId="0" borderId="0" xfId="0" applyNumberFormat="1"/>
    <xf numFmtId="3" fontId="0" fillId="0" borderId="0" xfId="0" applyNumberFormat="1"/>
    <xf numFmtId="14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4" borderId="0" xfId="0" applyFill="1"/>
    <xf numFmtId="0" fontId="4" fillId="0" borderId="0" xfId="1" applyFont="1" applyAlignment="1" applyProtection="1"/>
    <xf numFmtId="0" fontId="2" fillId="5" borderId="0" xfId="1" applyFill="1" applyAlignment="1" applyProtection="1"/>
    <xf numFmtId="0" fontId="0" fillId="6" borderId="0" xfId="0" applyFill="1"/>
    <xf numFmtId="164" fontId="0" fillId="6" borderId="0" xfId="0" applyNumberFormat="1" applyFill="1"/>
    <xf numFmtId="1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1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14" fontId="0" fillId="8" borderId="0" xfId="0" applyNumberFormat="1" applyFill="1"/>
  </cellXfs>
  <cellStyles count="2">
    <cellStyle name="Hipervínculo" xfId="1" builtinId="8"/>
    <cellStyle name="Normal" xfId="0" builtinId="0"/>
  </cellStyles>
  <dxfs count="849"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0000"/>
      </font>
      <fill>
        <patternFill>
          <bgColor rgb="FF0066CC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66FF"/>
      <color rgb="FF0066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I122"/>
  <sheetViews>
    <sheetView tabSelected="1" topLeftCell="A7" zoomScaleNormal="100" workbookViewId="0"/>
  </sheetViews>
  <sheetFormatPr baseColWidth="10" defaultRowHeight="15" x14ac:dyDescent="0.25"/>
  <cols>
    <col min="1" max="1" width="37.7109375" customWidth="1"/>
    <col min="2" max="2" width="22.85546875" style="4" customWidth="1"/>
    <col min="3" max="3" width="25.5703125" customWidth="1"/>
    <col min="4" max="4" width="13.140625" customWidth="1"/>
    <col min="5" max="5" width="19.85546875" customWidth="1"/>
    <col min="6" max="6" width="48.5703125" customWidth="1"/>
    <col min="7" max="7" width="47" customWidth="1"/>
    <col min="9" max="9" width="75.5703125" customWidth="1"/>
  </cols>
  <sheetData>
    <row r="1" spans="1:9" ht="15.75" thickBot="1" x14ac:dyDescent="0.3">
      <c r="A1" s="1"/>
      <c r="B1" s="14" t="s">
        <v>0</v>
      </c>
      <c r="C1" s="1" t="s">
        <v>197</v>
      </c>
      <c r="I1" t="s">
        <v>378</v>
      </c>
    </row>
    <row r="2" spans="1:9" ht="15.75" thickBot="1" x14ac:dyDescent="0.3">
      <c r="A2" s="3" t="s">
        <v>141</v>
      </c>
      <c r="B2" s="4">
        <f>VALUE('AGUILAR FELIPE (BULLA)'!J2)</f>
        <v>538000</v>
      </c>
      <c r="D2" s="15"/>
      <c r="E2" s="15"/>
    </row>
    <row r="3" spans="1:9" x14ac:dyDescent="0.25">
      <c r="A3" s="3" t="s">
        <v>569</v>
      </c>
      <c r="B3" s="4" t="s">
        <v>571</v>
      </c>
      <c r="D3" s="15"/>
      <c r="E3" s="15"/>
    </row>
    <row r="4" spans="1:9" x14ac:dyDescent="0.25">
      <c r="A4" s="11" t="s">
        <v>488</v>
      </c>
      <c r="B4" s="4">
        <f>VALUE('BAHAMONDEZ JORGE'!J2)</f>
        <v>0</v>
      </c>
    </row>
    <row r="5" spans="1:9" x14ac:dyDescent="0.25">
      <c r="A5" s="11" t="s">
        <v>481</v>
      </c>
      <c r="B5" s="4">
        <f>VALUE('BARRIA MIGUEL'!J2)</f>
        <v>3000</v>
      </c>
    </row>
    <row r="6" spans="1:9" x14ac:dyDescent="0.25">
      <c r="A6" s="11" t="s">
        <v>14</v>
      </c>
      <c r="B6" s="4">
        <f>VALUE('CANALES JOSE LUIS'!J2)</f>
        <v>0</v>
      </c>
      <c r="C6" s="19"/>
    </row>
    <row r="7" spans="1:9" x14ac:dyDescent="0.25">
      <c r="A7" s="11" t="s">
        <v>19</v>
      </c>
      <c r="B7" s="4">
        <f>VALUE('CARDENAS GABRIEL'!J2)</f>
        <v>58000</v>
      </c>
      <c r="C7">
        <v>15000</v>
      </c>
    </row>
    <row r="8" spans="1:9" x14ac:dyDescent="0.25">
      <c r="A8" s="11" t="s">
        <v>161</v>
      </c>
      <c r="B8" s="4">
        <f>VALUE('CEA RAUL'!J2)</f>
        <v>164000</v>
      </c>
    </row>
    <row r="9" spans="1:9" x14ac:dyDescent="0.25">
      <c r="A9" s="11" t="s">
        <v>15</v>
      </c>
      <c r="B9" s="4">
        <f>VALUE('COMIGUAL HUGO'!J2)</f>
        <v>87500</v>
      </c>
    </row>
    <row r="10" spans="1:9" x14ac:dyDescent="0.25">
      <c r="A10" s="11" t="s">
        <v>144</v>
      </c>
      <c r="B10" s="4">
        <f>VALUE('DEL RIO LORCA EMERSON'!J2)</f>
        <v>130000</v>
      </c>
    </row>
    <row r="11" spans="1:9" x14ac:dyDescent="0.25">
      <c r="A11" s="11" t="s">
        <v>63</v>
      </c>
      <c r="B11" s="4">
        <f>VALUE('DELGADO PATRICIO (RAPIDO Y FUR)'!J2)</f>
        <v>0</v>
      </c>
    </row>
    <row r="12" spans="1:9" x14ac:dyDescent="0.25">
      <c r="A12" s="11" t="s">
        <v>86</v>
      </c>
      <c r="B12" s="4">
        <f>VALUE('FOLLERT CARDENAS JOSE'!J2)</f>
        <v>0</v>
      </c>
    </row>
    <row r="13" spans="1:9" x14ac:dyDescent="0.25">
      <c r="A13" s="11" t="s">
        <v>492</v>
      </c>
      <c r="B13" s="4">
        <f>VALUE('FUENTES HECTOR'!J2)</f>
        <v>0</v>
      </c>
    </row>
    <row r="14" spans="1:9" x14ac:dyDescent="0.25">
      <c r="A14" s="11" t="s">
        <v>128</v>
      </c>
      <c r="B14" s="4">
        <f>VALUE('GALLARDO ARMANDO'!J2)</f>
        <v>0</v>
      </c>
    </row>
    <row r="15" spans="1:9" x14ac:dyDescent="0.25">
      <c r="A15" s="11" t="s">
        <v>16</v>
      </c>
      <c r="B15" s="4">
        <f>VALUE('GONZALEZ NELSON'!J2)</f>
        <v>25000</v>
      </c>
    </row>
    <row r="16" spans="1:9" x14ac:dyDescent="0.25">
      <c r="A16" s="11" t="s">
        <v>142</v>
      </c>
      <c r="B16" s="4">
        <f>VALUE('GUERRERO RODRIGO'!J2)</f>
        <v>0</v>
      </c>
    </row>
    <row r="17" spans="1:8" x14ac:dyDescent="0.25">
      <c r="A17" s="11" t="s">
        <v>462</v>
      </c>
      <c r="B17" s="4">
        <f>VALUE('AGUILAR HANZ'!J2)</f>
        <v>189000</v>
      </c>
    </row>
    <row r="18" spans="1:8" x14ac:dyDescent="0.25">
      <c r="A18" s="11" t="s">
        <v>400</v>
      </c>
      <c r="B18" s="4">
        <f>VALUE('HERNANDEZ HECTOR (FALABELLA)'!J2)</f>
        <v>0</v>
      </c>
    </row>
    <row r="19" spans="1:8" x14ac:dyDescent="0.25">
      <c r="A19" s="11" t="s">
        <v>489</v>
      </c>
      <c r="B19" s="4">
        <f>VALUE('HENRIQUES JORGE (HUEVO)'!J2)</f>
        <v>12000</v>
      </c>
    </row>
    <row r="20" spans="1:8" x14ac:dyDescent="0.25">
      <c r="A20" s="11" t="s">
        <v>196</v>
      </c>
      <c r="B20" s="4">
        <f>VALUE('HINOSTROZA MOISES (LA CUMBRE)'!J2)</f>
        <v>0</v>
      </c>
      <c r="C20">
        <v>478500</v>
      </c>
    </row>
    <row r="21" spans="1:8" x14ac:dyDescent="0.25">
      <c r="A21" s="11" t="s">
        <v>491</v>
      </c>
      <c r="B21" s="4">
        <v>0</v>
      </c>
    </row>
    <row r="22" spans="1:8" x14ac:dyDescent="0.25">
      <c r="A22" s="11" t="s">
        <v>160</v>
      </c>
    </row>
    <row r="23" spans="1:8" x14ac:dyDescent="0.25">
      <c r="A23" s="11" t="s">
        <v>285</v>
      </c>
      <c r="B23" s="4">
        <f>VALUE('ROA MANUEL'!J2)</f>
        <v>356000</v>
      </c>
    </row>
    <row r="24" spans="1:8" x14ac:dyDescent="0.25">
      <c r="A24" s="11" t="s">
        <v>373</v>
      </c>
      <c r="B24" s="4">
        <f>VALUE('BAHAMONDEZ MARCO (SUBOFICIAL)'!J2)</f>
        <v>201500</v>
      </c>
    </row>
    <row r="25" spans="1:8" x14ac:dyDescent="0.25">
      <c r="A25" s="11" t="s">
        <v>49</v>
      </c>
      <c r="B25" s="4">
        <f>VALUE('MARTINEZ EDUARDO (FUSCHLOCHER)'!J2)</f>
        <v>0</v>
      </c>
    </row>
    <row r="26" spans="1:8" x14ac:dyDescent="0.25">
      <c r="A26" t="s">
        <v>465</v>
      </c>
      <c r="B26" s="4">
        <v>187500</v>
      </c>
      <c r="C26" t="s">
        <v>634</v>
      </c>
      <c r="D26" s="2"/>
      <c r="E26" t="s">
        <v>589</v>
      </c>
      <c r="F26" s="2" t="s">
        <v>703</v>
      </c>
      <c r="G26" s="23" t="s">
        <v>1033</v>
      </c>
      <c r="H26" s="2"/>
    </row>
    <row r="27" spans="1:8" x14ac:dyDescent="0.25">
      <c r="A27" s="11" t="s">
        <v>82</v>
      </c>
      <c r="B27" s="4">
        <f>VALUE('MENARES MAIKOL (GRUA)'!J2)</f>
        <v>110000</v>
      </c>
    </row>
    <row r="28" spans="1:8" x14ac:dyDescent="0.25">
      <c r="A28" s="11" t="s">
        <v>467</v>
      </c>
      <c r="B28" s="4">
        <f>VALUE('MONTES WALTER (LOCO EDY)'!J2)</f>
        <v>159000</v>
      </c>
    </row>
    <row r="29" spans="1:8" x14ac:dyDescent="0.25">
      <c r="A29" s="11" t="s">
        <v>17</v>
      </c>
      <c r="B29" s="4">
        <f>VALUE('MOTOR EXPRESS'!J2)</f>
        <v>898400</v>
      </c>
    </row>
    <row r="30" spans="1:8" x14ac:dyDescent="0.25">
      <c r="A30" s="11" t="s">
        <v>334</v>
      </c>
      <c r="B30" s="4">
        <f>VALUE('CARRASCO PEDRO (ZORRO)'!J2)</f>
        <v>28000</v>
      </c>
    </row>
    <row r="31" spans="1:8" x14ac:dyDescent="0.25">
      <c r="A31" s="11" t="s">
        <v>18</v>
      </c>
    </row>
    <row r="32" spans="1:8" x14ac:dyDescent="0.25">
      <c r="A32" s="11" t="s">
        <v>83</v>
      </c>
      <c r="B32" s="4">
        <f>VALUE('PINGUINO MAURI'!J2)</f>
        <v>0</v>
      </c>
    </row>
    <row r="33" spans="1:9" x14ac:dyDescent="0.25">
      <c r="A33" s="11" t="s">
        <v>493</v>
      </c>
      <c r="B33" s="4">
        <f>VALUE('PINUER OMAR'!J2)</f>
        <v>126000</v>
      </c>
    </row>
    <row r="34" spans="1:9" x14ac:dyDescent="0.25">
      <c r="A34" s="11" t="s">
        <v>145</v>
      </c>
      <c r="B34" s="4">
        <f>VALUE('PORTALES CRISTIAN'!J2)</f>
        <v>1244000</v>
      </c>
      <c r="D34" s="2"/>
    </row>
    <row r="35" spans="1:9" x14ac:dyDescent="0.25">
      <c r="A35" s="11" t="s">
        <v>490</v>
      </c>
      <c r="B35" s="4">
        <f>VALUE('PUSCHEL PABLO'!J2)</f>
        <v>0</v>
      </c>
      <c r="C35" t="s">
        <v>1495</v>
      </c>
      <c r="D35" s="2"/>
      <c r="E35">
        <v>580000</v>
      </c>
    </row>
    <row r="36" spans="1:9" x14ac:dyDescent="0.25">
      <c r="A36" s="11" t="s">
        <v>39</v>
      </c>
      <c r="B36" s="4">
        <f>VALUE('QUEZADA RICHARD'!J2)</f>
        <v>0</v>
      </c>
      <c r="D36" s="2"/>
    </row>
    <row r="37" spans="1:9" x14ac:dyDescent="0.25">
      <c r="A37" s="11" t="s">
        <v>62</v>
      </c>
      <c r="B37" s="4">
        <f>VALUE('REYES ANDRES (PIRLO)'!J2)</f>
        <v>0</v>
      </c>
      <c r="D37" s="2"/>
    </row>
    <row r="38" spans="1:9" x14ac:dyDescent="0.25">
      <c r="A38" s="11" t="s">
        <v>476</v>
      </c>
      <c r="B38" s="4">
        <f>VALUE('RICARDO 5L'!J2)</f>
        <v>0</v>
      </c>
      <c r="D38" s="2"/>
    </row>
    <row r="39" spans="1:9" x14ac:dyDescent="0.25">
      <c r="A39" s="16" t="s">
        <v>180</v>
      </c>
      <c r="B39" s="4">
        <f>VALUE('ROA JULIAN'!J2)</f>
        <v>0</v>
      </c>
      <c r="D39" s="2"/>
    </row>
    <row r="40" spans="1:9" x14ac:dyDescent="0.25">
      <c r="A40" s="11" t="s">
        <v>480</v>
      </c>
      <c r="B40" s="4">
        <v>0</v>
      </c>
      <c r="C40" s="2"/>
      <c r="D40" s="2"/>
      <c r="F40" s="2"/>
    </row>
    <row r="41" spans="1:9" x14ac:dyDescent="0.25">
      <c r="A41" s="11" t="s">
        <v>127</v>
      </c>
      <c r="B41" s="4">
        <f>VALUE('ROGEL MARCOS'!J2)</f>
        <v>393500</v>
      </c>
      <c r="D41" s="2"/>
    </row>
    <row r="42" spans="1:9" x14ac:dyDescent="0.25">
      <c r="A42" s="11" t="s">
        <v>162</v>
      </c>
      <c r="B42" s="4">
        <f>VALUE('ROSAS ALVARO'!J2)</f>
        <v>0</v>
      </c>
      <c r="D42" s="2"/>
    </row>
    <row r="43" spans="1:9" x14ac:dyDescent="0.25">
      <c r="A43" s="11" t="s">
        <v>152</v>
      </c>
      <c r="B43" s="4">
        <f>VALUE('ROSAS SERGIO (DON CHECHO)'!J2)</f>
        <v>0</v>
      </c>
      <c r="D43" s="2"/>
    </row>
    <row r="44" spans="1:9" x14ac:dyDescent="0.25">
      <c r="A44" s="11" t="s">
        <v>147</v>
      </c>
      <c r="B44" s="4">
        <f>VALUE('RUIZ JOAQUIN (CHISPA)'!J2)</f>
        <v>5500</v>
      </c>
      <c r="D44" s="2"/>
      <c r="I44" s="2"/>
    </row>
    <row r="45" spans="1:9" x14ac:dyDescent="0.25">
      <c r="A45" s="11" t="s">
        <v>300</v>
      </c>
      <c r="B45" s="4">
        <f>VALUE('CONTRERAS SEBASTIAN (PAREJAJUST'!J2)</f>
        <v>38000</v>
      </c>
      <c r="C45">
        <v>989617361</v>
      </c>
      <c r="D45" s="2"/>
    </row>
    <row r="46" spans="1:9" x14ac:dyDescent="0.25">
      <c r="A46" s="11" t="s">
        <v>479</v>
      </c>
      <c r="B46" s="4">
        <f>VALUE('SOBARZO RODOLFO'!J2)</f>
        <v>0</v>
      </c>
      <c r="D46" s="2"/>
    </row>
    <row r="47" spans="1:9" x14ac:dyDescent="0.25">
      <c r="A47" s="11" t="s">
        <v>248</v>
      </c>
      <c r="B47" s="4">
        <f>VALUE('VELASQUEZ MECANICO'!J2)</f>
        <v>0</v>
      </c>
      <c r="D47" s="2"/>
    </row>
    <row r="48" spans="1:9" x14ac:dyDescent="0.25">
      <c r="A48" s="11" t="s">
        <v>126</v>
      </c>
      <c r="B48" s="4">
        <f>VALUE('T Y P'!J2)</f>
        <v>0</v>
      </c>
      <c r="D48" s="2"/>
    </row>
    <row r="49" spans="1:9" x14ac:dyDescent="0.25">
      <c r="A49" s="11" t="s">
        <v>370</v>
      </c>
      <c r="B49" s="4">
        <v>0</v>
      </c>
    </row>
    <row r="50" spans="1:9" x14ac:dyDescent="0.25">
      <c r="A50" s="11" t="s">
        <v>146</v>
      </c>
      <c r="B50" s="4">
        <f>VALUE('TOLEDO IVAN (EL TERRIBLE)'!J2)</f>
        <v>0</v>
      </c>
      <c r="D50" s="2"/>
    </row>
    <row r="51" spans="1:9" x14ac:dyDescent="0.25">
      <c r="A51" s="11" t="s">
        <v>473</v>
      </c>
      <c r="B51" s="4">
        <f>VALUE('VENEGAS EFRAIN BERNABE'!J2)</f>
        <v>0</v>
      </c>
      <c r="D51" s="2"/>
    </row>
    <row r="52" spans="1:9" x14ac:dyDescent="0.25">
      <c r="A52" s="11" t="s">
        <v>143</v>
      </c>
      <c r="B52" s="4">
        <f>VALUE('VERA LUIS (ELECTROVERA)'!J2)</f>
        <v>47000</v>
      </c>
      <c r="D52" s="2"/>
    </row>
    <row r="53" spans="1:9" x14ac:dyDescent="0.25">
      <c r="A53" s="11" t="s">
        <v>694</v>
      </c>
      <c r="C53" t="s">
        <v>503</v>
      </c>
      <c r="D53">
        <v>942492963</v>
      </c>
    </row>
    <row r="54" spans="1:9" x14ac:dyDescent="0.25">
      <c r="A54" s="11" t="s">
        <v>514</v>
      </c>
      <c r="B54" s="4">
        <v>12000</v>
      </c>
      <c r="C54" t="s">
        <v>536</v>
      </c>
      <c r="E54" s="2">
        <v>44582</v>
      </c>
    </row>
    <row r="55" spans="1:9" x14ac:dyDescent="0.25">
      <c r="A55" s="11" t="s">
        <v>530</v>
      </c>
      <c r="B55" s="4">
        <v>0</v>
      </c>
      <c r="C55" t="s">
        <v>531</v>
      </c>
      <c r="E55" s="2">
        <v>44600</v>
      </c>
    </row>
    <row r="56" spans="1:9" x14ac:dyDescent="0.25">
      <c r="A56" s="11" t="s">
        <v>695</v>
      </c>
      <c r="B56" s="4">
        <v>0</v>
      </c>
      <c r="C56" t="s">
        <v>195</v>
      </c>
      <c r="E56" s="2">
        <v>44623</v>
      </c>
    </row>
    <row r="57" spans="1:9" x14ac:dyDescent="0.25">
      <c r="A57" s="11" t="s">
        <v>574</v>
      </c>
      <c r="B57" s="4">
        <v>0</v>
      </c>
      <c r="C57" t="s">
        <v>575</v>
      </c>
      <c r="D57" s="2"/>
      <c r="E57" s="2">
        <v>44641</v>
      </c>
    </row>
    <row r="58" spans="1:9" x14ac:dyDescent="0.25">
      <c r="A58" s="11" t="s">
        <v>696</v>
      </c>
      <c r="B58" s="4">
        <v>0</v>
      </c>
      <c r="C58" t="s">
        <v>367</v>
      </c>
      <c r="E58" s="2">
        <v>44645</v>
      </c>
    </row>
    <row r="59" spans="1:9" x14ac:dyDescent="0.25">
      <c r="A59" s="11" t="s">
        <v>697</v>
      </c>
      <c r="B59" s="4">
        <v>0</v>
      </c>
      <c r="C59" t="s">
        <v>157</v>
      </c>
      <c r="D59" s="2">
        <v>44652</v>
      </c>
      <c r="E59" s="2">
        <v>44645</v>
      </c>
    </row>
    <row r="60" spans="1:9" x14ac:dyDescent="0.25">
      <c r="A60" s="11" t="s">
        <v>698</v>
      </c>
      <c r="B60" s="4">
        <v>0</v>
      </c>
      <c r="D60" s="2"/>
      <c r="E60" s="2"/>
    </row>
    <row r="61" spans="1:9" x14ac:dyDescent="0.25">
      <c r="A61" s="11" t="s">
        <v>699</v>
      </c>
      <c r="B61" s="4">
        <v>0</v>
      </c>
      <c r="C61" t="s">
        <v>619</v>
      </c>
      <c r="D61" s="2"/>
      <c r="E61" s="2">
        <v>44669</v>
      </c>
      <c r="F61" s="2">
        <v>44687</v>
      </c>
    </row>
    <row r="62" spans="1:9" x14ac:dyDescent="0.25">
      <c r="A62" s="11" t="s">
        <v>599</v>
      </c>
      <c r="B62" s="4">
        <f>VALUE('MAESTRO GODOY  CACHITO'!J2)</f>
        <v>15000</v>
      </c>
      <c r="C62" t="s">
        <v>600</v>
      </c>
      <c r="E62" s="2">
        <v>44670</v>
      </c>
      <c r="G62" t="s">
        <v>602</v>
      </c>
      <c r="H62">
        <v>230000</v>
      </c>
      <c r="I62">
        <v>15000</v>
      </c>
    </row>
    <row r="63" spans="1:9" x14ac:dyDescent="0.25">
      <c r="A63" s="11" t="s">
        <v>700</v>
      </c>
      <c r="B63" s="4">
        <f>VALUE('NAGIAN BERNARDO '!J2)</f>
        <v>0</v>
      </c>
      <c r="E63" s="2">
        <v>44715</v>
      </c>
    </row>
    <row r="64" spans="1:9" x14ac:dyDescent="0.25">
      <c r="A64" s="11" t="s">
        <v>650</v>
      </c>
      <c r="B64" s="4">
        <v>0</v>
      </c>
      <c r="E64" s="2">
        <v>44740</v>
      </c>
    </row>
    <row r="65" spans="1:7" x14ac:dyDescent="0.25">
      <c r="A65" s="11" t="s">
        <v>701</v>
      </c>
      <c r="B65" s="4">
        <f>VALUE('AROS MARCIA'!J2)</f>
        <v>0</v>
      </c>
      <c r="C65" t="s">
        <v>657</v>
      </c>
      <c r="E65" s="2">
        <v>44746</v>
      </c>
    </row>
    <row r="66" spans="1:7" x14ac:dyDescent="0.25">
      <c r="A66" s="11" t="s">
        <v>702</v>
      </c>
      <c r="B66" s="4">
        <f>VALUE(TOSKA!J2)</f>
        <v>0</v>
      </c>
      <c r="C66" s="15" t="s">
        <v>658</v>
      </c>
      <c r="E66" s="2">
        <v>44772</v>
      </c>
    </row>
    <row r="67" spans="1:7" x14ac:dyDescent="0.25">
      <c r="A67" s="11" t="s">
        <v>720</v>
      </c>
      <c r="B67" s="4">
        <v>48500</v>
      </c>
      <c r="C67" s="15" t="s">
        <v>1014</v>
      </c>
      <c r="E67" s="2">
        <v>45096</v>
      </c>
      <c r="F67" t="s">
        <v>1063</v>
      </c>
      <c r="G67" t="s">
        <v>1073</v>
      </c>
    </row>
    <row r="68" spans="1:7" x14ac:dyDescent="0.25">
      <c r="A68" s="11" t="s">
        <v>692</v>
      </c>
    </row>
    <row r="69" spans="1:7" x14ac:dyDescent="0.25">
      <c r="A69" s="11" t="s">
        <v>693</v>
      </c>
      <c r="B69" s="4">
        <f>VALUE(PLANTILLA!J2)</f>
        <v>0</v>
      </c>
    </row>
    <row r="70" spans="1:7" x14ac:dyDescent="0.25">
      <c r="A70" t="s">
        <v>738</v>
      </c>
      <c r="B70" s="4">
        <v>125000</v>
      </c>
      <c r="C70" t="s">
        <v>739</v>
      </c>
      <c r="E70" s="2">
        <v>44810</v>
      </c>
    </row>
    <row r="71" spans="1:7" x14ac:dyDescent="0.25">
      <c r="A71" t="s">
        <v>748</v>
      </c>
      <c r="B71" s="4">
        <v>150000</v>
      </c>
      <c r="C71" t="s">
        <v>1261</v>
      </c>
      <c r="E71" s="2">
        <v>45432</v>
      </c>
      <c r="F71" t="s">
        <v>1362</v>
      </c>
    </row>
    <row r="72" spans="1:7" x14ac:dyDescent="0.25">
      <c r="A72" t="s">
        <v>768</v>
      </c>
      <c r="C72" t="s">
        <v>769</v>
      </c>
      <c r="F72" t="s">
        <v>770</v>
      </c>
    </row>
    <row r="73" spans="1:7" x14ac:dyDescent="0.25">
      <c r="A73" t="s">
        <v>776</v>
      </c>
      <c r="B73" s="4">
        <v>34000</v>
      </c>
      <c r="E73" s="2">
        <v>44859</v>
      </c>
    </row>
    <row r="74" spans="1:7" x14ac:dyDescent="0.25">
      <c r="A74" t="s">
        <v>780</v>
      </c>
      <c r="B74" s="4">
        <v>80000</v>
      </c>
      <c r="C74" t="s">
        <v>1348</v>
      </c>
      <c r="F74" t="s">
        <v>1163</v>
      </c>
    </row>
    <row r="75" spans="1:7" x14ac:dyDescent="0.25">
      <c r="A75" t="s">
        <v>785</v>
      </c>
      <c r="B75" s="4">
        <v>0</v>
      </c>
      <c r="E75" s="2">
        <v>44872</v>
      </c>
    </row>
    <row r="76" spans="1:7" x14ac:dyDescent="0.25">
      <c r="A76" t="s">
        <v>803</v>
      </c>
      <c r="B76" s="4">
        <v>75000</v>
      </c>
      <c r="E76" s="2">
        <v>44888</v>
      </c>
    </row>
    <row r="77" spans="1:7" x14ac:dyDescent="0.25">
      <c r="A77" t="s">
        <v>804</v>
      </c>
      <c r="B77" s="4">
        <v>0</v>
      </c>
      <c r="E77" s="2">
        <v>44890</v>
      </c>
    </row>
    <row r="78" spans="1:7" x14ac:dyDescent="0.25">
      <c r="A78" t="s">
        <v>817</v>
      </c>
      <c r="B78" s="4">
        <v>0</v>
      </c>
      <c r="C78" t="s">
        <v>819</v>
      </c>
      <c r="E78" s="2">
        <v>44904</v>
      </c>
      <c r="F78" t="s">
        <v>871</v>
      </c>
    </row>
    <row r="79" spans="1:7" x14ac:dyDescent="0.25">
      <c r="A79" t="s">
        <v>839</v>
      </c>
      <c r="B79" s="4">
        <v>0</v>
      </c>
      <c r="C79" t="s">
        <v>840</v>
      </c>
      <c r="E79" s="2">
        <v>44918</v>
      </c>
      <c r="F79" t="s">
        <v>907</v>
      </c>
    </row>
    <row r="80" spans="1:7" x14ac:dyDescent="0.25">
      <c r="A80" t="s">
        <v>861</v>
      </c>
      <c r="B80" s="4">
        <v>0</v>
      </c>
      <c r="C80" t="s">
        <v>1487</v>
      </c>
      <c r="E80" s="2">
        <v>45610</v>
      </c>
      <c r="F80" t="s">
        <v>1504</v>
      </c>
    </row>
    <row r="81" spans="1:7" x14ac:dyDescent="0.25">
      <c r="A81" t="s">
        <v>863</v>
      </c>
      <c r="B81" s="4">
        <v>0</v>
      </c>
      <c r="C81" t="s">
        <v>864</v>
      </c>
      <c r="E81" s="2">
        <v>44943</v>
      </c>
    </row>
    <row r="82" spans="1:7" x14ac:dyDescent="0.25">
      <c r="A82" t="s">
        <v>865</v>
      </c>
      <c r="B82" s="4">
        <v>22000</v>
      </c>
      <c r="C82" t="s">
        <v>845</v>
      </c>
      <c r="E82" s="2"/>
    </row>
    <row r="83" spans="1:7" x14ac:dyDescent="0.25">
      <c r="A83" t="s">
        <v>893</v>
      </c>
      <c r="B83" s="4">
        <v>0</v>
      </c>
      <c r="C83" t="s">
        <v>894</v>
      </c>
      <c r="E83" s="2"/>
      <c r="F83" t="s">
        <v>909</v>
      </c>
    </row>
    <row r="84" spans="1:7" x14ac:dyDescent="0.25">
      <c r="A84" t="s">
        <v>906</v>
      </c>
      <c r="B84" s="4">
        <v>13000</v>
      </c>
      <c r="C84" t="s">
        <v>1305</v>
      </c>
      <c r="E84" s="2">
        <v>45392</v>
      </c>
      <c r="F84" s="21"/>
      <c r="G84" t="s">
        <v>1284</v>
      </c>
    </row>
    <row r="85" spans="1:7" x14ac:dyDescent="0.25">
      <c r="A85" t="s">
        <v>914</v>
      </c>
      <c r="B85" s="4">
        <v>70000</v>
      </c>
      <c r="C85" t="s">
        <v>915</v>
      </c>
      <c r="E85" s="2">
        <v>45000</v>
      </c>
    </row>
    <row r="86" spans="1:7" s="21" customFormat="1" x14ac:dyDescent="0.25">
      <c r="A86" s="21" t="s">
        <v>878</v>
      </c>
      <c r="B86" s="22" t="s">
        <v>1541</v>
      </c>
      <c r="C86" s="21" t="s">
        <v>1533</v>
      </c>
      <c r="E86" s="20">
        <v>45611</v>
      </c>
    </row>
    <row r="87" spans="1:7" x14ac:dyDescent="0.25">
      <c r="A87" t="s">
        <v>934</v>
      </c>
      <c r="B87" s="4">
        <v>10000</v>
      </c>
      <c r="C87" t="s">
        <v>1087</v>
      </c>
      <c r="E87" s="2">
        <v>45175</v>
      </c>
    </row>
    <row r="88" spans="1:7" x14ac:dyDescent="0.25">
      <c r="A88" t="s">
        <v>937</v>
      </c>
      <c r="B88" s="4">
        <v>252000</v>
      </c>
      <c r="C88" t="s">
        <v>959</v>
      </c>
      <c r="E88" s="2">
        <v>45054</v>
      </c>
      <c r="F88" t="s">
        <v>986</v>
      </c>
      <c r="G88" t="s">
        <v>1031</v>
      </c>
    </row>
    <row r="89" spans="1:7" x14ac:dyDescent="0.25">
      <c r="A89" t="s">
        <v>963</v>
      </c>
      <c r="B89" s="4">
        <v>0</v>
      </c>
      <c r="C89" t="s">
        <v>964</v>
      </c>
      <c r="E89" s="2">
        <v>45056</v>
      </c>
      <c r="F89" t="s">
        <v>965</v>
      </c>
      <c r="G89" t="s">
        <v>1098</v>
      </c>
    </row>
    <row r="90" spans="1:7" x14ac:dyDescent="0.25">
      <c r="A90" t="s">
        <v>966</v>
      </c>
      <c r="B90" s="4" t="s">
        <v>1511</v>
      </c>
      <c r="C90" t="s">
        <v>1461</v>
      </c>
      <c r="E90" s="2">
        <v>45362</v>
      </c>
      <c r="F90" t="s">
        <v>1398</v>
      </c>
      <c r="G90" t="s">
        <v>1399</v>
      </c>
    </row>
    <row r="91" spans="1:7" x14ac:dyDescent="0.25">
      <c r="A91" t="s">
        <v>974</v>
      </c>
      <c r="B91" s="4">
        <v>50000</v>
      </c>
      <c r="C91" t="s">
        <v>1366</v>
      </c>
    </row>
    <row r="92" spans="1:7" x14ac:dyDescent="0.25">
      <c r="A92" t="s">
        <v>992</v>
      </c>
      <c r="B92" s="4">
        <v>0</v>
      </c>
      <c r="C92" t="s">
        <v>1310</v>
      </c>
      <c r="E92" s="2">
        <v>45397</v>
      </c>
      <c r="G92" t="s">
        <v>993</v>
      </c>
    </row>
    <row r="93" spans="1:7" x14ac:dyDescent="0.25">
      <c r="A93" t="s">
        <v>1034</v>
      </c>
      <c r="B93" s="4">
        <v>0</v>
      </c>
      <c r="C93" t="s">
        <v>1035</v>
      </c>
      <c r="E93" s="2">
        <v>45118</v>
      </c>
    </row>
    <row r="94" spans="1:7" s="32" customFormat="1" x14ac:dyDescent="0.25">
      <c r="A94" s="32" t="s">
        <v>1047</v>
      </c>
      <c r="B94" s="33">
        <v>10000</v>
      </c>
      <c r="C94" s="32" t="s">
        <v>1538</v>
      </c>
      <c r="E94" s="34">
        <v>45636</v>
      </c>
    </row>
    <row r="95" spans="1:7" x14ac:dyDescent="0.25">
      <c r="A95" t="s">
        <v>1053</v>
      </c>
      <c r="C95" t="s">
        <v>1054</v>
      </c>
      <c r="E95" s="2">
        <v>45138</v>
      </c>
    </row>
    <row r="96" spans="1:7" x14ac:dyDescent="0.25">
      <c r="A96" t="s">
        <v>1078</v>
      </c>
      <c r="B96" s="4">
        <v>73000</v>
      </c>
      <c r="C96" t="s">
        <v>1079</v>
      </c>
      <c r="E96" s="2">
        <v>45168</v>
      </c>
    </row>
    <row r="97" spans="1:7" x14ac:dyDescent="0.25">
      <c r="A97" t="s">
        <v>1088</v>
      </c>
      <c r="B97" s="4">
        <v>0</v>
      </c>
      <c r="E97" s="2">
        <v>45175</v>
      </c>
    </row>
    <row r="98" spans="1:7" x14ac:dyDescent="0.25">
      <c r="A98" t="s">
        <v>1099</v>
      </c>
      <c r="B98" s="4">
        <v>0</v>
      </c>
      <c r="C98" t="s">
        <v>24</v>
      </c>
      <c r="E98" s="2">
        <v>45189</v>
      </c>
    </row>
    <row r="99" spans="1:7" x14ac:dyDescent="0.25">
      <c r="A99" t="s">
        <v>1122</v>
      </c>
      <c r="B99" s="4">
        <v>0</v>
      </c>
      <c r="C99" t="s">
        <v>1123</v>
      </c>
      <c r="E99" s="2">
        <v>45212</v>
      </c>
    </row>
    <row r="100" spans="1:7" x14ac:dyDescent="0.25">
      <c r="A100" t="s">
        <v>1124</v>
      </c>
      <c r="B100" s="4">
        <v>0</v>
      </c>
      <c r="E100" s="2">
        <v>45212</v>
      </c>
    </row>
    <row r="101" spans="1:7" x14ac:dyDescent="0.25">
      <c r="A101" t="s">
        <v>1128</v>
      </c>
      <c r="B101" s="4">
        <v>0</v>
      </c>
      <c r="E101" s="2">
        <v>45216</v>
      </c>
      <c r="G101" t="s">
        <v>1139</v>
      </c>
    </row>
    <row r="102" spans="1:7" x14ac:dyDescent="0.25">
      <c r="A102" t="s">
        <v>1132</v>
      </c>
      <c r="B102" s="4">
        <v>0</v>
      </c>
      <c r="C102" t="s">
        <v>1133</v>
      </c>
      <c r="E102" s="2">
        <v>45217</v>
      </c>
    </row>
    <row r="103" spans="1:7" x14ac:dyDescent="0.25">
      <c r="A103" t="s">
        <v>1141</v>
      </c>
      <c r="C103" t="s">
        <v>1387</v>
      </c>
      <c r="E103" s="2">
        <v>45478</v>
      </c>
    </row>
    <row r="104" spans="1:7" s="26" customFormat="1" x14ac:dyDescent="0.25">
      <c r="A104" s="26" t="s">
        <v>1147</v>
      </c>
      <c r="B104" s="27" t="s">
        <v>1534</v>
      </c>
      <c r="C104" s="26" t="s">
        <v>1497</v>
      </c>
      <c r="E104" s="28">
        <v>45289</v>
      </c>
      <c r="F104" s="26" t="s">
        <v>1535</v>
      </c>
    </row>
    <row r="105" spans="1:7" x14ac:dyDescent="0.25">
      <c r="A105" t="s">
        <v>1169</v>
      </c>
      <c r="B105" s="4">
        <v>0</v>
      </c>
      <c r="C105" t="s">
        <v>1168</v>
      </c>
      <c r="E105" s="2">
        <v>45251</v>
      </c>
    </row>
    <row r="106" spans="1:7" x14ac:dyDescent="0.25">
      <c r="A106" t="s">
        <v>1227</v>
      </c>
      <c r="B106" s="4">
        <v>0</v>
      </c>
      <c r="C106" t="s">
        <v>1401</v>
      </c>
      <c r="E106" s="2">
        <v>45492</v>
      </c>
    </row>
    <row r="107" spans="1:7" x14ac:dyDescent="0.25">
      <c r="A107" t="s">
        <v>1233</v>
      </c>
      <c r="B107" s="4" t="s">
        <v>1467</v>
      </c>
      <c r="C107" t="s">
        <v>1468</v>
      </c>
      <c r="E107" s="2">
        <v>45341</v>
      </c>
    </row>
    <row r="108" spans="1:7" s="29" customFormat="1" x14ac:dyDescent="0.25">
      <c r="A108" s="29" t="s">
        <v>1238</v>
      </c>
      <c r="B108" s="30" t="s">
        <v>1502</v>
      </c>
      <c r="C108" s="29" t="s">
        <v>478</v>
      </c>
      <c r="E108" s="31">
        <v>45587</v>
      </c>
      <c r="G108" s="29" t="s">
        <v>1503</v>
      </c>
    </row>
    <row r="109" spans="1:7" x14ac:dyDescent="0.25">
      <c r="A109" t="s">
        <v>1292</v>
      </c>
      <c r="B109" s="4">
        <v>24000</v>
      </c>
      <c r="C109" t="s">
        <v>1447</v>
      </c>
      <c r="E109" s="2">
        <v>45567</v>
      </c>
    </row>
    <row r="110" spans="1:7" x14ac:dyDescent="0.25">
      <c r="A110" t="s">
        <v>1306</v>
      </c>
    </row>
    <row r="111" spans="1:7" x14ac:dyDescent="0.25">
      <c r="A111" t="s">
        <v>1320</v>
      </c>
      <c r="B111" s="4">
        <v>0</v>
      </c>
      <c r="C111" t="s">
        <v>1321</v>
      </c>
      <c r="E111" s="2">
        <v>45407</v>
      </c>
    </row>
    <row r="112" spans="1:7" x14ac:dyDescent="0.25">
      <c r="A112" t="s">
        <v>1329</v>
      </c>
      <c r="B112" s="4">
        <v>14000</v>
      </c>
      <c r="C112" t="s">
        <v>1330</v>
      </c>
      <c r="E112" s="2">
        <v>45426</v>
      </c>
    </row>
    <row r="113" spans="1:6" x14ac:dyDescent="0.25">
      <c r="A113" t="s">
        <v>1367</v>
      </c>
      <c r="B113" s="4">
        <v>0</v>
      </c>
      <c r="C113" t="s">
        <v>1368</v>
      </c>
      <c r="E113" s="2">
        <v>45456</v>
      </c>
    </row>
    <row r="114" spans="1:6" x14ac:dyDescent="0.25">
      <c r="A114" t="s">
        <v>1392</v>
      </c>
      <c r="B114" s="4">
        <v>0</v>
      </c>
      <c r="C114" t="s">
        <v>1400</v>
      </c>
      <c r="E114" s="2">
        <v>45491</v>
      </c>
    </row>
    <row r="115" spans="1:6" x14ac:dyDescent="0.25">
      <c r="A115" t="s">
        <v>1404</v>
      </c>
      <c r="C115" t="s">
        <v>1405</v>
      </c>
      <c r="E115" s="2">
        <v>45498</v>
      </c>
    </row>
    <row r="116" spans="1:6" x14ac:dyDescent="0.25">
      <c r="A116" t="s">
        <v>1416</v>
      </c>
      <c r="B116" s="4">
        <v>26000</v>
      </c>
      <c r="C116" t="s">
        <v>1417</v>
      </c>
      <c r="E116" s="2">
        <v>45524</v>
      </c>
      <c r="F116" t="s">
        <v>1501</v>
      </c>
    </row>
    <row r="117" spans="1:6" x14ac:dyDescent="0.25">
      <c r="A117" t="s">
        <v>1450</v>
      </c>
      <c r="B117" s="4">
        <v>205000</v>
      </c>
      <c r="C117" t="s">
        <v>1451</v>
      </c>
      <c r="E117" s="2">
        <v>45573</v>
      </c>
    </row>
    <row r="118" spans="1:6" x14ac:dyDescent="0.25">
      <c r="A118" t="s">
        <v>1453</v>
      </c>
      <c r="B118" s="4" t="s">
        <v>1454</v>
      </c>
      <c r="C118" t="s">
        <v>1455</v>
      </c>
      <c r="E118" s="2">
        <v>45582</v>
      </c>
    </row>
    <row r="119" spans="1:6" x14ac:dyDescent="0.25">
      <c r="A119" t="s">
        <v>1459</v>
      </c>
      <c r="B119" s="4">
        <v>40000</v>
      </c>
      <c r="C119" t="s">
        <v>1460</v>
      </c>
      <c r="E119" s="2">
        <v>45587</v>
      </c>
    </row>
    <row r="120" spans="1:6" x14ac:dyDescent="0.25">
      <c r="A120" t="s">
        <v>1492</v>
      </c>
      <c r="B120" s="4">
        <v>0</v>
      </c>
      <c r="E120" s="2"/>
    </row>
    <row r="121" spans="1:6" x14ac:dyDescent="0.25">
      <c r="A121" t="s">
        <v>1496</v>
      </c>
      <c r="C121" t="s">
        <v>195</v>
      </c>
    </row>
    <row r="122" spans="1:6" x14ac:dyDescent="0.25">
      <c r="A122" t="s">
        <v>1522</v>
      </c>
      <c r="B122" s="4">
        <v>70000</v>
      </c>
      <c r="C122" t="s">
        <v>1523</v>
      </c>
    </row>
  </sheetData>
  <autoFilter ref="A1:C31">
    <sortState ref="A2:C51">
      <sortCondition ref="A1:A30"/>
    </sortState>
  </autoFilter>
  <sortState ref="A2:C32">
    <sortCondition ref="C2:C32"/>
  </sortState>
  <hyperlinks>
    <hyperlink ref="A6" location="'CANALES JOSE LUIS'!A1" display="CANALES JOSE LUIS (MACACO)"/>
    <hyperlink ref="A9" location="'COMIGUAL HUGO'!A1" display="COMIGUAL HUGO"/>
    <hyperlink ref="A15" location="'GONZALEZ NELSON'!A1" display="GONZALEZ NELSON"/>
    <hyperlink ref="A29" location="'MOTOR EXPRESS'!A1" display="MOTOR EXPRESS"/>
    <hyperlink ref="A31" location="'PEREZ SADY'!A1" display="PEREZ SADY"/>
    <hyperlink ref="A7" location="'CARDENAS GABRIEL'!A1" display="CARDENAS GABRIEL"/>
    <hyperlink ref="A36" location="'QUEZADA RICHARD'!A1" display="QUEZADA RICHARD"/>
    <hyperlink ref="A25" location="'MARTINEZ EDUARDO (FUSCHLOCHER)'!A1" display="MARTINEZ EDUARDO (FUSCHLOCHER)"/>
    <hyperlink ref="A37" location="'REYES ANDRES (PIRLO)'!A1" display="REYES ANDRES (PIRLO)"/>
    <hyperlink ref="A11" location="'DELGADO PATRICIO (RAPIDO Y FUR)'!A1" display="DELGADO PATRICIO (RAPIDO Y FUR)"/>
    <hyperlink ref="A27" location="'MENARES MAIKOL (GRUA)'!A1" display="MENARES MAIKOL (GRUA)"/>
    <hyperlink ref="A32" location="'PINGUINO MAURI'!A1" display="PINGÜINO MAURI"/>
    <hyperlink ref="A12" location="'FOLLERT CARDENAS JOSE'!A1" display="'FOLLERT CARDENAS JOSE'!A1"/>
    <hyperlink ref="A48" location="'T Y P'!A1" display="T Y P"/>
    <hyperlink ref="A41" location="'ROGEL MARCOS'!A1" display="ROGEL MARCOS"/>
    <hyperlink ref="A14" location="'GALLARDO ARMANDO'!A1" display="GALLARDO ARMANDO"/>
    <hyperlink ref="A2" location="'AGUILAR FELIPE (BULLA)'!A1" display="AGUILAR FELIPE (BULLA)"/>
    <hyperlink ref="A16" location="'GUERRERO RODRIGO'!A1" display="GUERRERO RODRIGO"/>
    <hyperlink ref="A52" location="'VERA LUIS (ELECTROVERA)'!A1" display="VERA LUIS (ELECTROVERA)"/>
    <hyperlink ref="A10" location="'DEL RIO LORCA EMERSON'!A1" display="DEL RIO LORCA EMERSON"/>
    <hyperlink ref="A34" location="'PORTALES CRISTIAN'!A1" display="PORTALES CRISTIAN"/>
    <hyperlink ref="A50" location="'TOLEDO IVAN (EL TERRIBLE)'!A1" display="TOLEDO IVAN (EL TERRIBLE)"/>
    <hyperlink ref="A44" location="'RUIZ JOAQUIN (CHISPA)'!A1" display="RUIZ JOAQUIN (CHISPA)"/>
    <hyperlink ref="A43" location="'ROSAS SERGIO (DON CHECHO)'!A1" display="ROSAS SERGIO (DON CHECHO)"/>
    <hyperlink ref="A22" location="'MALDONADO MOISES'!A1" display="MALDONADO MOISES"/>
    <hyperlink ref="A8" location="'CEA RAUL'!A1" display="CEA RAUL"/>
    <hyperlink ref="A42" location="'ROSAS ALVARO'!A1" display="ROSAS ALVARO"/>
    <hyperlink ref="A39" location="'ROA JULIAN'!A1" display="ROA JULIAN"/>
    <hyperlink ref="A20" location="'HINOSTROZA MOISES (LA CUMBRE)'!A1" display="HINOSTROZA MOISES (LA CUMBRE)"/>
    <hyperlink ref="A38" location="'RICARDO 5L'!A1" display="RICARDO 5L"/>
    <hyperlink ref="A51" location="'VENEGAS EFRAIN BERNABE'!A1" display="VENEGAS EFRAIN BERNABE"/>
    <hyperlink ref="A28" location="'MONTES WALTER (LOCO EDY)'!A1" display="MONTES WALTER (LOCO EDY)"/>
    <hyperlink ref="A17" location="'AGUILAR HANZ'!A1" display="HANZ AGUILAR"/>
    <hyperlink ref="A5" location="'BARRIA MIGUEL'!A1" display="BARRIA MIGUEL"/>
    <hyperlink ref="A40" location="'ROBLES LUIS'!A1" display="ROBLES LUIS"/>
    <hyperlink ref="A46" location="'SOBARZO RODOLFO'!A1" display="SOBARZO RODOLFO"/>
    <hyperlink ref="A18" location="'HERNANDEZ HECTOR (FALABELLA)'!A1" display="HECTOR HERNNADEZ (FALABELLA)"/>
    <hyperlink ref="A33" location="'PINUER OMAR'!A1" display="OMAR PINUER "/>
    <hyperlink ref="A24" location="'BAHAMONDEZ MARCO (SUBOFICIAL)'!A1" display="MARCO BAHAMONDEZ (SUBOFICIAL)"/>
    <hyperlink ref="A49" location="'TIO CHINO LESPAI'!A1" display="TIO CHINO LESPAI"/>
    <hyperlink ref="A30" location="'CARRASCO PEDRO (ZORRO)'!A1" display="PEDRO CARRASCO (ZORRO)"/>
    <hyperlink ref="A45" location="'CONTRERAS SEBASTIAN (PAREJAJUST'!A1" display="SEBASTIAN CONTRERAS "/>
    <hyperlink ref="A23" location="'ROA MANUEL'!A1" display="MANUEL ROA "/>
    <hyperlink ref="A47" location="'SR. VELASQUEZ MECANICO'!A1" display="SR. VELASQUEZ MECANICO "/>
    <hyperlink ref="A4" location="'BAHAMONDEZ JORGE'!A1" display="BAHAMONDEZ JORGE"/>
    <hyperlink ref="A19" location="'HENRIQUES JORGE (HUEVO)'!A1" display="HENRIQUES JORGE (HUEVO)"/>
    <hyperlink ref="A35" location="'PUSCHEL PABLO'!A1" display="PUSCHEL PABLO"/>
    <hyperlink ref="A21" location="'LORCA EMERSON '!A1" display="LORCA EMERSON "/>
    <hyperlink ref="A13" location="'FUENTES HECTOR'!A1" display="FUENTES HECTOR"/>
    <hyperlink ref="A3" location="'FELIPE AGUILAR (BULLA) LICAN'!A1" display="AGUILAR FELIPE (BULLA) LICAN"/>
    <hyperlink ref="A68" location="'HUALA CARLOS'!A1" display="HUALA CARLOS"/>
    <hyperlink ref="A69" location="NATALIA!A1" display="NATALIA"/>
    <hyperlink ref="A53" location="'JOSE LOAIZA (FRANKE)'!A1" display="JOSE LOAIZA (FRANKE)"/>
    <hyperlink ref="A54" location="'CHICO JULIO'!A1" display="CHICO JULIO "/>
    <hyperlink ref="A55" location="'PAPA DE GUILLE'!A1" display="PAPA DE GUILLE "/>
    <hyperlink ref="A56" location="'SEGOVIA GUILLERMO'!A1" display="GUILLERMO SEGOVIA"/>
    <hyperlink ref="A57" location="'FERNANDEZ NICASIO (TIO CABALLO)'!A1" display="FERNANDEZ NICASIO (TIO CABALLO)"/>
    <hyperlink ref="A58" location="'TIO CABALLO'!A1" display="tio caballo"/>
    <hyperlink ref="A59" location="'PAREDES JUAN (PERRITO)'!A1" display="PAREDES JUAN (PERRITO)"/>
    <hyperlink ref="A60" location="'PALMA ROSAS JUAN  (VITOY)'!A1" display="PALMA ROSAS JUAN  (VITOY)"/>
    <hyperlink ref="A61" location="'CORONADO LORENA'!A1" display="CORONADO LORENA "/>
    <hyperlink ref="A62" location="'MAESTRO GODOY  CACHITO'!A1" display="MAESTRO GODOY  CACHITO"/>
    <hyperlink ref="A63" location="'NAGIAN BERNARDO '!A1" display="NAGIAN BERNARDO "/>
    <hyperlink ref="A64" location="'TIO OMAR'!A1" display="TIO OMAR"/>
    <hyperlink ref="A65" location="'AROS MARCIA'!A1" display="AROS MARCIA "/>
    <hyperlink ref="A66" location="TOSKA!A1" display="TOSK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848" priority="7" operator="equal">
      <formula>"PAGADO"</formula>
    </cfRule>
    <cfRule type="cellIs" dxfId="847" priority="8" operator="equal">
      <formula>"PENDIENTE"</formula>
    </cfRule>
    <cfRule type="cellIs" dxfId="846" priority="9" operator="equal">
      <formula>"""PENDIENTE"""</formula>
    </cfRule>
  </conditionalFormatting>
  <conditionalFormatting sqref="E1:E1048576">
    <cfRule type="cellIs" dxfId="845" priority="5" operator="equal">
      <formula>"FACTURADO"</formula>
    </cfRule>
    <cfRule type="cellIs" dxfId="844" priority="6" operator="equal">
      <formula>"NO FACTURADO"</formula>
    </cfRule>
  </conditionalFormatting>
  <conditionalFormatting sqref="F1:F1048576">
    <cfRule type="cellIs" dxfId="843" priority="1" operator="equal">
      <formula>"NATALIA"</formula>
    </cfRule>
    <cfRule type="cellIs" dxfId="842" priority="2" operator="equal">
      <formula>"DELIS"</formula>
    </cfRule>
    <cfRule type="cellIs" dxfId="841" priority="3" operator="equal">
      <formula>"CESAR"</formula>
    </cfRule>
    <cfRule type="cellIs" dxfId="840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8000</v>
      </c>
      <c r="K2" s="11" t="s">
        <v>121</v>
      </c>
    </row>
    <row r="3" spans="1:11" x14ac:dyDescent="0.25">
      <c r="A3" s="2">
        <v>45618</v>
      </c>
      <c r="B3" t="s">
        <v>452</v>
      </c>
      <c r="C3" s="4">
        <v>8000</v>
      </c>
      <c r="D3" t="s">
        <v>364</v>
      </c>
      <c r="E3" t="s">
        <v>1528</v>
      </c>
      <c r="I3" s="4">
        <f t="shared" si="0"/>
        <v>8000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839" priority="7" operator="equal">
      <formula>"PAGADO"</formula>
    </cfRule>
    <cfRule type="cellIs" dxfId="838" priority="8" operator="equal">
      <formula>"PENDIENTE"</formula>
    </cfRule>
    <cfRule type="cellIs" dxfId="837" priority="9" operator="equal">
      <formula>"""PENDIENTE"""</formula>
    </cfRule>
  </conditionalFormatting>
  <conditionalFormatting sqref="E1:E1048576">
    <cfRule type="cellIs" dxfId="836" priority="5" operator="equal">
      <formula>"FACTURADO"</formula>
    </cfRule>
    <cfRule type="cellIs" dxfId="835" priority="6" operator="equal">
      <formula>"NO FACTURADO"</formula>
    </cfRule>
  </conditionalFormatting>
  <conditionalFormatting sqref="F1:F1048576">
    <cfRule type="cellIs" dxfId="834" priority="1" operator="equal">
      <formula>"NATALIA"</formula>
    </cfRule>
    <cfRule type="cellIs" dxfId="833" priority="2" operator="equal">
      <formula>"DELIS"</formula>
    </cfRule>
    <cfRule type="cellIs" dxfId="832" priority="3" operator="equal">
      <formula>"CESAR"</formula>
    </cfRule>
    <cfRule type="cellIs" dxfId="83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830" priority="7" operator="equal">
      <formula>"PAGADO"</formula>
    </cfRule>
    <cfRule type="cellIs" dxfId="829" priority="8" operator="equal">
      <formula>"PENDIENTE"</formula>
    </cfRule>
    <cfRule type="cellIs" dxfId="828" priority="9" operator="equal">
      <formula>"""PENDIENTE"""</formula>
    </cfRule>
  </conditionalFormatting>
  <conditionalFormatting sqref="E1:E1048576">
    <cfRule type="cellIs" dxfId="827" priority="5" operator="equal">
      <formula>"FACTURADO"</formula>
    </cfRule>
    <cfRule type="cellIs" dxfId="826" priority="6" operator="equal">
      <formula>"NO FACTURADO"</formula>
    </cfRule>
  </conditionalFormatting>
  <conditionalFormatting sqref="F1:F1048576">
    <cfRule type="cellIs" dxfId="825" priority="1" operator="equal">
      <formula>"NATALIA"</formula>
    </cfRule>
    <cfRule type="cellIs" dxfId="824" priority="2" operator="equal">
      <formula>"DELIS"</formula>
    </cfRule>
    <cfRule type="cellIs" dxfId="823" priority="3" operator="equal">
      <formula>"CESAR"</formula>
    </cfRule>
    <cfRule type="cellIs" dxfId="822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821" priority="7" operator="equal">
      <formula>"PAGADO"</formula>
    </cfRule>
    <cfRule type="cellIs" dxfId="820" priority="8" operator="equal">
      <formula>"PENDIENTE"</formula>
    </cfRule>
    <cfRule type="cellIs" dxfId="819" priority="9" operator="equal">
      <formula>"""PENDIENTE"""</formula>
    </cfRule>
  </conditionalFormatting>
  <conditionalFormatting sqref="E1:E1048576">
    <cfRule type="cellIs" dxfId="818" priority="5" operator="equal">
      <formula>"FACTURADO"</formula>
    </cfRule>
    <cfRule type="cellIs" dxfId="817" priority="6" operator="equal">
      <formula>"NO FACTURADO"</formula>
    </cfRule>
  </conditionalFormatting>
  <conditionalFormatting sqref="F1:F1048576">
    <cfRule type="cellIs" dxfId="816" priority="1" operator="equal">
      <formula>"NATALIA"</formula>
    </cfRule>
    <cfRule type="cellIs" dxfId="815" priority="2" operator="equal">
      <formula>"DELIS"</formula>
    </cfRule>
    <cfRule type="cellIs" dxfId="814" priority="3" operator="equal">
      <formula>"CESAR"</formula>
    </cfRule>
    <cfRule type="cellIs" dxfId="813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812" priority="7" operator="equal">
      <formula>"PAGADO"</formula>
    </cfRule>
    <cfRule type="cellIs" dxfId="811" priority="8" operator="equal">
      <formula>"PENDIENTE"</formula>
    </cfRule>
    <cfRule type="cellIs" dxfId="810" priority="9" operator="equal">
      <formula>"""PENDIENTE"""</formula>
    </cfRule>
  </conditionalFormatting>
  <conditionalFormatting sqref="E1:E1048576">
    <cfRule type="cellIs" dxfId="809" priority="5" operator="equal">
      <formula>"FACTURADO"</formula>
    </cfRule>
    <cfRule type="cellIs" dxfId="808" priority="6" operator="equal">
      <formula>"NO FACTURADO"</formula>
    </cfRule>
  </conditionalFormatting>
  <conditionalFormatting sqref="F1:F1048576">
    <cfRule type="cellIs" dxfId="807" priority="1" operator="equal">
      <formula>"NATALIA"</formula>
    </cfRule>
    <cfRule type="cellIs" dxfId="806" priority="2" operator="equal">
      <formula>"DELIS"</formula>
    </cfRule>
    <cfRule type="cellIs" dxfId="805" priority="3" operator="equal">
      <formula>"CESAR"</formula>
    </cfRule>
    <cfRule type="cellIs" dxfId="804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803" priority="7" operator="equal">
      <formula>"PAGADO"</formula>
    </cfRule>
    <cfRule type="cellIs" dxfId="802" priority="8" operator="equal">
      <formula>"PENDIENTE"</formula>
    </cfRule>
    <cfRule type="cellIs" dxfId="801" priority="9" operator="equal">
      <formula>"""PENDIENTE"""</formula>
    </cfRule>
  </conditionalFormatting>
  <conditionalFormatting sqref="E1:E1048576">
    <cfRule type="cellIs" dxfId="800" priority="5" operator="equal">
      <formula>"FACTURADO"</formula>
    </cfRule>
    <cfRule type="cellIs" dxfId="799" priority="6" operator="equal">
      <formula>"NO FACTURADO"</formula>
    </cfRule>
  </conditionalFormatting>
  <conditionalFormatting sqref="F1:F1048576">
    <cfRule type="cellIs" dxfId="798" priority="1" operator="equal">
      <formula>"NATALIA"</formula>
    </cfRule>
    <cfRule type="cellIs" dxfId="797" priority="2" operator="equal">
      <formula>"DELIS"</formula>
    </cfRule>
    <cfRule type="cellIs" dxfId="796" priority="3" operator="equal">
      <formula>"CESAR"</formula>
    </cfRule>
    <cfRule type="cellIs" dxfId="79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94" priority="7" operator="equal">
      <formula>"PAGADO"</formula>
    </cfRule>
    <cfRule type="cellIs" dxfId="793" priority="8" operator="equal">
      <formula>"PENDIENTE"</formula>
    </cfRule>
    <cfRule type="cellIs" dxfId="792" priority="9" operator="equal">
      <formula>"""PENDIENTE"""</formula>
    </cfRule>
  </conditionalFormatting>
  <conditionalFormatting sqref="E1:E1048576">
    <cfRule type="cellIs" dxfId="791" priority="5" operator="equal">
      <formula>"FACTURADO"</formula>
    </cfRule>
    <cfRule type="cellIs" dxfId="790" priority="6" operator="equal">
      <formula>"NO FACTURADO"</formula>
    </cfRule>
  </conditionalFormatting>
  <conditionalFormatting sqref="F1:F1048576">
    <cfRule type="cellIs" dxfId="789" priority="1" operator="equal">
      <formula>"NATALIA"</formula>
    </cfRule>
    <cfRule type="cellIs" dxfId="788" priority="2" operator="equal">
      <formula>"DELIS"</formula>
    </cfRule>
    <cfRule type="cellIs" dxfId="787" priority="3" operator="equal">
      <formula>"CESAR"</formula>
    </cfRule>
    <cfRule type="cellIs" dxfId="78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85" priority="7" operator="equal">
      <formula>"PAGADO"</formula>
    </cfRule>
    <cfRule type="cellIs" dxfId="784" priority="8" operator="equal">
      <formula>"PENDIENTE"</formula>
    </cfRule>
    <cfRule type="cellIs" dxfId="783" priority="9" operator="equal">
      <formula>"""PENDIENTE"""</formula>
    </cfRule>
  </conditionalFormatting>
  <conditionalFormatting sqref="E1:E1048576">
    <cfRule type="cellIs" dxfId="782" priority="5" operator="equal">
      <formula>"FACTURADO"</formula>
    </cfRule>
    <cfRule type="cellIs" dxfId="781" priority="6" operator="equal">
      <formula>"NO FACTURADO"</formula>
    </cfRule>
  </conditionalFormatting>
  <conditionalFormatting sqref="F1:F1048576">
    <cfRule type="cellIs" dxfId="780" priority="1" operator="equal">
      <formula>"NATALIA"</formula>
    </cfRule>
    <cfRule type="cellIs" dxfId="779" priority="2" operator="equal">
      <formula>"DELIS"</formula>
    </cfRule>
    <cfRule type="cellIs" dxfId="778" priority="3" operator="equal">
      <formula>"CESAR"</formula>
    </cfRule>
    <cfRule type="cellIs" dxfId="77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76" priority="7" operator="equal">
      <formula>"PAGADO"</formula>
    </cfRule>
    <cfRule type="cellIs" dxfId="775" priority="8" operator="equal">
      <formula>"PENDIENTE"</formula>
    </cfRule>
    <cfRule type="cellIs" dxfId="774" priority="9" operator="equal">
      <formula>"""PENDIENTE"""</formula>
    </cfRule>
  </conditionalFormatting>
  <conditionalFormatting sqref="E1:E1048576">
    <cfRule type="cellIs" dxfId="773" priority="5" operator="equal">
      <formula>"FACTURADO"</formula>
    </cfRule>
    <cfRule type="cellIs" dxfId="772" priority="6" operator="equal">
      <formula>"NO FACTURADO"</formula>
    </cfRule>
  </conditionalFormatting>
  <conditionalFormatting sqref="F1:F1048576">
    <cfRule type="cellIs" dxfId="771" priority="1" operator="equal">
      <formula>"NATALIA"</formula>
    </cfRule>
    <cfRule type="cellIs" dxfId="770" priority="2" operator="equal">
      <formula>"DELIS"</formula>
    </cfRule>
    <cfRule type="cellIs" dxfId="769" priority="3" operator="equal">
      <formula>"CESAR"</formula>
    </cfRule>
    <cfRule type="cellIs" dxfId="76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67" priority="7" operator="equal">
      <formula>"PAGADO"</formula>
    </cfRule>
    <cfRule type="cellIs" dxfId="766" priority="8" operator="equal">
      <formula>"PENDIENTE"</formula>
    </cfRule>
    <cfRule type="cellIs" dxfId="765" priority="9" operator="equal">
      <formula>"""PENDIENTE"""</formula>
    </cfRule>
  </conditionalFormatting>
  <conditionalFormatting sqref="E1:E1048576">
    <cfRule type="cellIs" dxfId="764" priority="5" operator="equal">
      <formula>"FACTURADO"</formula>
    </cfRule>
    <cfRule type="cellIs" dxfId="763" priority="6" operator="equal">
      <formula>"NO FACTURADO"</formula>
    </cfRule>
  </conditionalFormatting>
  <conditionalFormatting sqref="F1:F1048576">
    <cfRule type="cellIs" dxfId="762" priority="1" operator="equal">
      <formula>"NATALIA"</formula>
    </cfRule>
    <cfRule type="cellIs" dxfId="761" priority="2" operator="equal">
      <formula>"DELIS"</formula>
    </cfRule>
    <cfRule type="cellIs" dxfId="760" priority="3" operator="equal">
      <formula>"CESAR"</formula>
    </cfRule>
    <cfRule type="cellIs" dxfId="759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58" priority="7" operator="equal">
      <formula>"PAGADO"</formula>
    </cfRule>
    <cfRule type="cellIs" dxfId="757" priority="8" operator="equal">
      <formula>"PENDIENTE"</formula>
    </cfRule>
    <cfRule type="cellIs" dxfId="756" priority="9" operator="equal">
      <formula>"""PENDIENTE"""</formula>
    </cfRule>
  </conditionalFormatting>
  <conditionalFormatting sqref="E1:E1048576">
    <cfRule type="cellIs" dxfId="755" priority="5" operator="equal">
      <formula>"FACTURADO"</formula>
    </cfRule>
    <cfRule type="cellIs" dxfId="754" priority="6" operator="equal">
      <formula>"NO FACTURADO"</formula>
    </cfRule>
  </conditionalFormatting>
  <conditionalFormatting sqref="F1:F1048576">
    <cfRule type="cellIs" dxfId="753" priority="1" operator="equal">
      <formula>"NATALIA"</formula>
    </cfRule>
    <cfRule type="cellIs" dxfId="752" priority="2" operator="equal">
      <formula>"DELIS"</formula>
    </cfRule>
    <cfRule type="cellIs" dxfId="751" priority="3" operator="equal">
      <formula>"CESAR"</formula>
    </cfRule>
    <cfRule type="cellIs" dxfId="750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49" priority="7" operator="equal">
      <formula>"PAGADO"</formula>
    </cfRule>
    <cfRule type="cellIs" dxfId="748" priority="8" operator="equal">
      <formula>"PENDIENTE"</formula>
    </cfRule>
    <cfRule type="cellIs" dxfId="747" priority="9" operator="equal">
      <formula>"""PENDIENTE"""</formula>
    </cfRule>
  </conditionalFormatting>
  <conditionalFormatting sqref="E1:E1048576">
    <cfRule type="cellIs" dxfId="746" priority="5" operator="equal">
      <formula>"FACTURADO"</formula>
    </cfRule>
    <cfRule type="cellIs" dxfId="745" priority="6" operator="equal">
      <formula>"NO FACTURADO"</formula>
    </cfRule>
  </conditionalFormatting>
  <conditionalFormatting sqref="F1:F1048576">
    <cfRule type="cellIs" dxfId="744" priority="1" operator="equal">
      <formula>"NATALIA"</formula>
    </cfRule>
    <cfRule type="cellIs" dxfId="743" priority="2" operator="equal">
      <formula>"DELIS"</formula>
    </cfRule>
    <cfRule type="cellIs" dxfId="742" priority="3" operator="equal">
      <formula>"CESAR"</formula>
    </cfRule>
    <cfRule type="cellIs" dxfId="74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40" priority="7" operator="equal">
      <formula>"PAGADO"</formula>
    </cfRule>
    <cfRule type="cellIs" dxfId="739" priority="8" operator="equal">
      <formula>"PENDIENTE"</formula>
    </cfRule>
    <cfRule type="cellIs" dxfId="738" priority="9" operator="equal">
      <formula>"""PENDIENTE"""</formula>
    </cfRule>
  </conditionalFormatting>
  <conditionalFormatting sqref="E1:E1048576">
    <cfRule type="cellIs" dxfId="737" priority="5" operator="equal">
      <formula>"FACTURADO"</formula>
    </cfRule>
    <cfRule type="cellIs" dxfId="736" priority="6" operator="equal">
      <formula>"NO FACTURADO"</formula>
    </cfRule>
  </conditionalFormatting>
  <conditionalFormatting sqref="F1:F1048576">
    <cfRule type="cellIs" dxfId="735" priority="1" operator="equal">
      <formula>"NATALIA"</formula>
    </cfRule>
    <cfRule type="cellIs" dxfId="734" priority="2" operator="equal">
      <formula>"DELIS"</formula>
    </cfRule>
    <cfRule type="cellIs" dxfId="733" priority="3" operator="equal">
      <formula>"CESAR"</formula>
    </cfRule>
    <cfRule type="cellIs" dxfId="732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31" priority="7" operator="equal">
      <formula>"PAGADO"</formula>
    </cfRule>
    <cfRule type="cellIs" dxfId="730" priority="8" operator="equal">
      <formula>"PENDIENTE"</formula>
    </cfRule>
    <cfRule type="cellIs" dxfId="729" priority="9" operator="equal">
      <formula>"""PENDIENTE"""</formula>
    </cfRule>
  </conditionalFormatting>
  <conditionalFormatting sqref="E1:E1048576">
    <cfRule type="cellIs" dxfId="728" priority="5" operator="equal">
      <formula>"FACTURADO"</formula>
    </cfRule>
    <cfRule type="cellIs" dxfId="727" priority="6" operator="equal">
      <formula>"NO FACTURADO"</formula>
    </cfRule>
  </conditionalFormatting>
  <conditionalFormatting sqref="F1:F1048576">
    <cfRule type="cellIs" dxfId="726" priority="1" operator="equal">
      <formula>"NATALIA"</formula>
    </cfRule>
    <cfRule type="cellIs" dxfId="725" priority="2" operator="equal">
      <formula>"DELIS"</formula>
    </cfRule>
    <cfRule type="cellIs" dxfId="724" priority="3" operator="equal">
      <formula>"CESAR"</formula>
    </cfRule>
    <cfRule type="cellIs" dxfId="723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22" priority="7" operator="equal">
      <formula>"PAGADO"</formula>
    </cfRule>
    <cfRule type="cellIs" dxfId="721" priority="8" operator="equal">
      <formula>"PENDIENTE"</formula>
    </cfRule>
    <cfRule type="cellIs" dxfId="720" priority="9" operator="equal">
      <formula>"""PENDIENTE"""</formula>
    </cfRule>
  </conditionalFormatting>
  <conditionalFormatting sqref="E1:E1048576">
    <cfRule type="cellIs" dxfId="719" priority="5" operator="equal">
      <formula>"FACTURADO"</formula>
    </cfRule>
    <cfRule type="cellIs" dxfId="718" priority="6" operator="equal">
      <formula>"NO FACTURADO"</formula>
    </cfRule>
  </conditionalFormatting>
  <conditionalFormatting sqref="F1:F1048576">
    <cfRule type="cellIs" dxfId="717" priority="1" operator="equal">
      <formula>"NATALIA"</formula>
    </cfRule>
    <cfRule type="cellIs" dxfId="716" priority="2" operator="equal">
      <formula>"DELIS"</formula>
    </cfRule>
    <cfRule type="cellIs" dxfId="715" priority="3" operator="equal">
      <formula>"CESAR"</formula>
    </cfRule>
    <cfRule type="cellIs" dxfId="714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13" priority="7" operator="equal">
      <formula>"PAGADO"</formula>
    </cfRule>
    <cfRule type="cellIs" dxfId="712" priority="8" operator="equal">
      <formula>"PENDIENTE"</formula>
    </cfRule>
    <cfRule type="cellIs" dxfId="711" priority="9" operator="equal">
      <formula>"""PENDIENTE"""</formula>
    </cfRule>
  </conditionalFormatting>
  <conditionalFormatting sqref="E1:E1048576">
    <cfRule type="cellIs" dxfId="710" priority="5" operator="equal">
      <formula>"FACTURADO"</formula>
    </cfRule>
    <cfRule type="cellIs" dxfId="709" priority="6" operator="equal">
      <formula>"NO FACTURADO"</formula>
    </cfRule>
  </conditionalFormatting>
  <conditionalFormatting sqref="F1:F1048576">
    <cfRule type="cellIs" dxfId="708" priority="1" operator="equal">
      <formula>"NATALIA"</formula>
    </cfRule>
    <cfRule type="cellIs" dxfId="707" priority="2" operator="equal">
      <formula>"DELIS"</formula>
    </cfRule>
    <cfRule type="cellIs" dxfId="706" priority="3" operator="equal">
      <formula>"CESAR"</formula>
    </cfRule>
    <cfRule type="cellIs" dxfId="70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704" priority="7" operator="equal">
      <formula>"PAGADO"</formula>
    </cfRule>
    <cfRule type="cellIs" dxfId="703" priority="8" operator="equal">
      <formula>"PENDIENTE"</formula>
    </cfRule>
    <cfRule type="cellIs" dxfId="702" priority="9" operator="equal">
      <formula>"""PENDIENTE"""</formula>
    </cfRule>
  </conditionalFormatting>
  <conditionalFormatting sqref="E1:E1048576">
    <cfRule type="cellIs" dxfId="701" priority="5" operator="equal">
      <formula>"FACTURADO"</formula>
    </cfRule>
    <cfRule type="cellIs" dxfId="700" priority="6" operator="equal">
      <formula>"NO FACTURADO"</formula>
    </cfRule>
  </conditionalFormatting>
  <conditionalFormatting sqref="F1:F1048576">
    <cfRule type="cellIs" dxfId="699" priority="1" operator="equal">
      <formula>"NATALIA"</formula>
    </cfRule>
    <cfRule type="cellIs" dxfId="698" priority="2" operator="equal">
      <formula>"DELIS"</formula>
    </cfRule>
    <cfRule type="cellIs" dxfId="697" priority="3" operator="equal">
      <formula>"CESAR"</formula>
    </cfRule>
    <cfRule type="cellIs" dxfId="69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695" priority="7" operator="equal">
      <formula>"PAGADO"</formula>
    </cfRule>
    <cfRule type="cellIs" dxfId="694" priority="8" operator="equal">
      <formula>"PENDIENTE"</formula>
    </cfRule>
    <cfRule type="cellIs" dxfId="693" priority="9" operator="equal">
      <formula>"""PENDIENTE"""</formula>
    </cfRule>
  </conditionalFormatting>
  <conditionalFormatting sqref="E1:E1048576">
    <cfRule type="cellIs" dxfId="692" priority="5" operator="equal">
      <formula>"FACTURADO"</formula>
    </cfRule>
    <cfRule type="cellIs" dxfId="691" priority="6" operator="equal">
      <formula>"NO FACTURADO"</formula>
    </cfRule>
  </conditionalFormatting>
  <conditionalFormatting sqref="F1:F1048576">
    <cfRule type="cellIs" dxfId="690" priority="1" operator="equal">
      <formula>"NATALIA"</formula>
    </cfRule>
    <cfRule type="cellIs" dxfId="689" priority="2" operator="equal">
      <formula>"DELIS"</formula>
    </cfRule>
    <cfRule type="cellIs" dxfId="688" priority="3" operator="equal">
      <formula>"CESAR"</formula>
    </cfRule>
    <cfRule type="cellIs" dxfId="68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B12" sqref="B1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686" priority="7" operator="equal">
      <formula>"PAGADO"</formula>
    </cfRule>
    <cfRule type="cellIs" dxfId="685" priority="8" operator="equal">
      <formula>"PENDIENTE"</formula>
    </cfRule>
    <cfRule type="cellIs" dxfId="684" priority="9" operator="equal">
      <formula>"""PENDIENTE"""</formula>
    </cfRule>
  </conditionalFormatting>
  <conditionalFormatting sqref="E1:E1048576">
    <cfRule type="cellIs" dxfId="683" priority="5" operator="equal">
      <formula>"FACTURADO"</formula>
    </cfRule>
    <cfRule type="cellIs" dxfId="682" priority="6" operator="equal">
      <formula>"NO FACTURADO"</formula>
    </cfRule>
  </conditionalFormatting>
  <conditionalFormatting sqref="F1:F1048576">
    <cfRule type="cellIs" dxfId="681" priority="1" operator="equal">
      <formula>"NATALIA"</formula>
    </cfRule>
    <cfRule type="cellIs" dxfId="680" priority="2" operator="equal">
      <formula>"DELIS"</formula>
    </cfRule>
    <cfRule type="cellIs" dxfId="679" priority="3" operator="equal">
      <formula>"CESAR"</formula>
    </cfRule>
    <cfRule type="cellIs" dxfId="67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XFD1048576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0</v>
      </c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677" priority="7" operator="equal">
      <formula>"PAGADO"</formula>
    </cfRule>
    <cfRule type="cellIs" dxfId="676" priority="8" operator="equal">
      <formula>"PENDIENTE"</formula>
    </cfRule>
    <cfRule type="cellIs" dxfId="675" priority="9" operator="equal">
      <formula>"""PENDIENTE"""</formula>
    </cfRule>
  </conditionalFormatting>
  <conditionalFormatting sqref="E1:E1048576">
    <cfRule type="cellIs" dxfId="674" priority="5" operator="equal">
      <formula>"FACTURADO"</formula>
    </cfRule>
    <cfRule type="cellIs" dxfId="673" priority="6" operator="equal">
      <formula>"NO FACTURADO"</formula>
    </cfRule>
  </conditionalFormatting>
  <conditionalFormatting sqref="F1:F1048576">
    <cfRule type="cellIs" dxfId="672" priority="1" operator="equal">
      <formula>"NATALIA"</formula>
    </cfRule>
    <cfRule type="cellIs" dxfId="671" priority="2" operator="equal">
      <formula>"DELIS"</formula>
    </cfRule>
    <cfRule type="cellIs" dxfId="670" priority="3" operator="equal">
      <formula>"CESAR"</formula>
    </cfRule>
    <cfRule type="cellIs" dxfId="669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L5" sqref="L5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68" priority="7" operator="equal">
      <formula>"PAGADO"</formula>
    </cfRule>
    <cfRule type="cellIs" dxfId="667" priority="8" operator="equal">
      <formula>"PENDIENTE"</formula>
    </cfRule>
    <cfRule type="cellIs" dxfId="666" priority="9" operator="equal">
      <formula>"""PENDIENTE"""</formula>
    </cfRule>
  </conditionalFormatting>
  <conditionalFormatting sqref="E1:E1048576">
    <cfRule type="cellIs" dxfId="665" priority="5" operator="equal">
      <formula>"FACTURADO"</formula>
    </cfRule>
    <cfRule type="cellIs" dxfId="664" priority="6" operator="equal">
      <formula>"NO FACTURADO"</formula>
    </cfRule>
  </conditionalFormatting>
  <conditionalFormatting sqref="F1:F1048576">
    <cfRule type="cellIs" dxfId="663" priority="1" operator="equal">
      <formula>"NATALIA"</formula>
    </cfRule>
    <cfRule type="cellIs" dxfId="662" priority="2" operator="equal">
      <formula>"DELIS"</formula>
    </cfRule>
    <cfRule type="cellIs" dxfId="661" priority="3" operator="equal">
      <formula>"CESAR"</formula>
    </cfRule>
    <cfRule type="cellIs" dxfId="660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E3" sqref="E3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t="s">
        <v>948</v>
      </c>
      <c r="B3" t="s">
        <v>949</v>
      </c>
      <c r="C3" s="4">
        <v>80000</v>
      </c>
      <c r="D3" t="s">
        <v>26</v>
      </c>
      <c r="F3" t="s">
        <v>10</v>
      </c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59" priority="7" operator="equal">
      <formula>"PAGADO"</formula>
    </cfRule>
    <cfRule type="cellIs" dxfId="658" priority="8" operator="equal">
      <formula>"PENDIENTE"</formula>
    </cfRule>
    <cfRule type="cellIs" dxfId="657" priority="9" operator="equal">
      <formula>"""PENDIENTE"""</formula>
    </cfRule>
  </conditionalFormatting>
  <conditionalFormatting sqref="E1:E1048576">
    <cfRule type="cellIs" dxfId="656" priority="5" operator="equal">
      <formula>"FACTURADO"</formula>
    </cfRule>
    <cfRule type="cellIs" dxfId="655" priority="6" operator="equal">
      <formula>"NO FACTURADO"</formula>
    </cfRule>
  </conditionalFormatting>
  <conditionalFormatting sqref="F1:F1048576">
    <cfRule type="cellIs" dxfId="654" priority="1" operator="equal">
      <formula>"NATALIA"</formula>
    </cfRule>
    <cfRule type="cellIs" dxfId="653" priority="2" operator="equal">
      <formula>"DELIS"</formula>
    </cfRule>
    <cfRule type="cellIs" dxfId="652" priority="3" operator="equal">
      <formula>"CESAR"</formula>
    </cfRule>
    <cfRule type="cellIs" dxfId="65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45044</v>
      </c>
      <c r="B3" t="s">
        <v>967</v>
      </c>
      <c r="C3" s="4">
        <v>185000</v>
      </c>
      <c r="D3" t="s">
        <v>157</v>
      </c>
      <c r="I3" s="4">
        <f t="shared" si="0"/>
        <v>0</v>
      </c>
    </row>
    <row r="4" spans="1:11" x14ac:dyDescent="0.25">
      <c r="A4" s="2">
        <v>45044</v>
      </c>
      <c r="B4" t="s">
        <v>968</v>
      </c>
      <c r="C4" s="4">
        <v>7500</v>
      </c>
      <c r="D4" t="s">
        <v>157</v>
      </c>
      <c r="I4" s="4">
        <f t="shared" si="0"/>
        <v>0</v>
      </c>
    </row>
    <row r="5" spans="1:11" x14ac:dyDescent="0.25">
      <c r="A5" s="2">
        <v>45379</v>
      </c>
      <c r="B5" t="s">
        <v>1291</v>
      </c>
      <c r="C5" s="4">
        <v>50000</v>
      </c>
      <c r="D5" s="12" t="s">
        <v>157</v>
      </c>
      <c r="E5" s="12" t="s">
        <v>157</v>
      </c>
      <c r="I5" s="4">
        <f>IF(E5="PENDIENTE",C5,0)</f>
        <v>0</v>
      </c>
    </row>
    <row r="6" spans="1:11" x14ac:dyDescent="0.25">
      <c r="A6" s="2">
        <v>45527</v>
      </c>
      <c r="B6" t="s">
        <v>1423</v>
      </c>
      <c r="C6" s="4">
        <v>40000</v>
      </c>
      <c r="D6" s="12" t="s">
        <v>157</v>
      </c>
      <c r="E6" t="s">
        <v>1442</v>
      </c>
      <c r="I6" s="4">
        <f t="shared" si="0"/>
        <v>0</v>
      </c>
    </row>
    <row r="7" spans="1:11" x14ac:dyDescent="0.25">
      <c r="A7" s="2">
        <v>45533</v>
      </c>
      <c r="B7" t="s">
        <v>1424</v>
      </c>
      <c r="C7" s="4">
        <v>121000</v>
      </c>
      <c r="D7" s="12" t="s">
        <v>157</v>
      </c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4 D5:E5 D6:D1048576">
    <cfRule type="cellIs" dxfId="650" priority="7" operator="equal">
      <formula>"PAGADO"</formula>
    </cfRule>
    <cfRule type="cellIs" dxfId="649" priority="8" operator="equal">
      <formula>"PENDIENTE"</formula>
    </cfRule>
    <cfRule type="cellIs" dxfId="648" priority="9" operator="equal">
      <formula>"""PENDIENTE"""</formula>
    </cfRule>
  </conditionalFormatting>
  <conditionalFormatting sqref="E1:E4 E6:E1048576">
    <cfRule type="cellIs" dxfId="647" priority="5" operator="equal">
      <formula>"FACTURADO"</formula>
    </cfRule>
    <cfRule type="cellIs" dxfId="646" priority="6" operator="equal">
      <formula>"NO FACTURADO"</formula>
    </cfRule>
  </conditionalFormatting>
  <conditionalFormatting sqref="F1:F1048576">
    <cfRule type="cellIs" dxfId="645" priority="1" operator="equal">
      <formula>"NATALIA"</formula>
    </cfRule>
    <cfRule type="cellIs" dxfId="644" priority="2" operator="equal">
      <formula>"DELIS"</formula>
    </cfRule>
    <cfRule type="cellIs" dxfId="643" priority="3" operator="equal">
      <formula>"CESAR"</formula>
    </cfRule>
    <cfRule type="cellIs" dxfId="642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45065</v>
      </c>
      <c r="B2" t="s">
        <v>978</v>
      </c>
      <c r="C2" s="4">
        <v>27000</v>
      </c>
      <c r="D2" s="10" t="s">
        <v>157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112000</v>
      </c>
      <c r="K2" s="11" t="s">
        <v>121</v>
      </c>
    </row>
    <row r="3" spans="1:11" x14ac:dyDescent="0.25">
      <c r="A3" s="2">
        <v>45170</v>
      </c>
      <c r="B3" t="s">
        <v>1077</v>
      </c>
      <c r="C3" s="4">
        <v>15000</v>
      </c>
      <c r="D3" t="s">
        <v>157</v>
      </c>
      <c r="I3" s="4">
        <f t="shared" si="0"/>
        <v>0</v>
      </c>
    </row>
    <row r="4" spans="1:11" x14ac:dyDescent="0.25">
      <c r="B4" t="s">
        <v>1142</v>
      </c>
      <c r="C4" s="4">
        <v>95000</v>
      </c>
      <c r="D4" t="s">
        <v>157</v>
      </c>
      <c r="I4" s="4">
        <f t="shared" si="0"/>
        <v>0</v>
      </c>
    </row>
    <row r="5" spans="1:11" x14ac:dyDescent="0.25">
      <c r="A5" s="2">
        <v>45358</v>
      </c>
      <c r="B5" t="s">
        <v>1277</v>
      </c>
      <c r="C5" s="4">
        <v>85000</v>
      </c>
      <c r="D5" t="s">
        <v>157</v>
      </c>
      <c r="I5" s="4">
        <f t="shared" si="0"/>
        <v>0</v>
      </c>
    </row>
    <row r="6" spans="1:11" x14ac:dyDescent="0.25">
      <c r="A6" s="2">
        <v>45415</v>
      </c>
      <c r="B6" t="s">
        <v>1326</v>
      </c>
      <c r="C6" s="4">
        <v>110000</v>
      </c>
      <c r="D6" s="12" t="s">
        <v>157</v>
      </c>
      <c r="I6" s="4">
        <f t="shared" si="0"/>
        <v>0</v>
      </c>
    </row>
    <row r="7" spans="1:11" x14ac:dyDescent="0.25">
      <c r="A7" s="2">
        <v>45608</v>
      </c>
      <c r="B7" t="s">
        <v>1482</v>
      </c>
      <c r="C7" s="4">
        <v>50000</v>
      </c>
      <c r="D7" s="12" t="s">
        <v>157</v>
      </c>
      <c r="I7" s="4">
        <f t="shared" si="0"/>
        <v>0</v>
      </c>
    </row>
    <row r="8" spans="1:11" x14ac:dyDescent="0.25">
      <c r="A8" s="2">
        <v>45609</v>
      </c>
      <c r="B8" t="s">
        <v>1483</v>
      </c>
      <c r="C8" s="4">
        <v>90000</v>
      </c>
      <c r="D8" s="12" t="s">
        <v>157</v>
      </c>
      <c r="I8" s="4">
        <f t="shared" si="0"/>
        <v>0</v>
      </c>
    </row>
    <row r="9" spans="1:11" x14ac:dyDescent="0.25">
      <c r="A9" s="2">
        <v>45609</v>
      </c>
      <c r="B9" t="s">
        <v>1484</v>
      </c>
      <c r="C9" s="4">
        <v>20000</v>
      </c>
      <c r="D9" s="12" t="s">
        <v>364</v>
      </c>
      <c r="E9" t="s">
        <v>1500</v>
      </c>
      <c r="I9" s="4">
        <f t="shared" si="0"/>
        <v>20000</v>
      </c>
    </row>
    <row r="10" spans="1:11" x14ac:dyDescent="0.25">
      <c r="A10" s="2">
        <v>45609</v>
      </c>
      <c r="B10" t="s">
        <v>1485</v>
      </c>
      <c r="C10" s="4">
        <v>64000</v>
      </c>
      <c r="D10" s="12" t="s">
        <v>364</v>
      </c>
      <c r="I10" s="4">
        <f t="shared" si="0"/>
        <v>64000</v>
      </c>
    </row>
    <row r="11" spans="1:11" x14ac:dyDescent="0.25">
      <c r="A11" s="2">
        <v>45602</v>
      </c>
      <c r="B11" t="s">
        <v>1486</v>
      </c>
      <c r="C11" s="4">
        <v>28000</v>
      </c>
      <c r="D11" s="12" t="s">
        <v>364</v>
      </c>
      <c r="I11" s="4">
        <f t="shared" si="0"/>
        <v>28000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41" priority="7" operator="equal">
      <formula>"PAGADO"</formula>
    </cfRule>
    <cfRule type="cellIs" dxfId="640" priority="8" operator="equal">
      <formula>"PENDIENTE"</formula>
    </cfRule>
    <cfRule type="cellIs" dxfId="639" priority="9" operator="equal">
      <formula>"""PENDIENTE"""</formula>
    </cfRule>
  </conditionalFormatting>
  <conditionalFormatting sqref="E1:E1048576">
    <cfRule type="cellIs" dxfId="638" priority="5" operator="equal">
      <formula>"FACTURADO"</formula>
    </cfRule>
    <cfRule type="cellIs" dxfId="637" priority="6" operator="equal">
      <formula>"NO FACTURADO"</formula>
    </cfRule>
  </conditionalFormatting>
  <conditionalFormatting sqref="F1:F1048576">
    <cfRule type="cellIs" dxfId="636" priority="1" operator="equal">
      <formula>"NATALIA"</formula>
    </cfRule>
    <cfRule type="cellIs" dxfId="635" priority="2" operator="equal">
      <formula>"DELIS"</formula>
    </cfRule>
    <cfRule type="cellIs" dxfId="634" priority="3" operator="equal">
      <formula>"CESAR"</formula>
    </cfRule>
    <cfRule type="cellIs" dxfId="633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44753</v>
      </c>
      <c r="B2" t="s">
        <v>675</v>
      </c>
      <c r="C2" s="4">
        <v>30000</v>
      </c>
      <c r="D2" s="10" t="s">
        <v>26</v>
      </c>
      <c r="F2" t="s">
        <v>270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45112</v>
      </c>
      <c r="B3" t="s">
        <v>1028</v>
      </c>
      <c r="C3" s="4">
        <v>120000</v>
      </c>
      <c r="D3" s="10" t="s">
        <v>26</v>
      </c>
      <c r="F3" t="s">
        <v>25</v>
      </c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32" priority="7" operator="equal">
      <formula>"PAGADO"</formula>
    </cfRule>
    <cfRule type="cellIs" dxfId="631" priority="8" operator="equal">
      <formula>"PENDIENTE"</formula>
    </cfRule>
    <cfRule type="cellIs" dxfId="630" priority="9" operator="equal">
      <formula>"""PENDIENTE"""</formula>
    </cfRule>
  </conditionalFormatting>
  <conditionalFormatting sqref="E1:E1048576">
    <cfRule type="cellIs" dxfId="629" priority="5" operator="equal">
      <formula>"FACTURADO"</formula>
    </cfRule>
    <cfRule type="cellIs" dxfId="628" priority="6" operator="equal">
      <formula>"NO FACTURADO"</formula>
    </cfRule>
  </conditionalFormatting>
  <conditionalFormatting sqref="F1:F1048576">
    <cfRule type="cellIs" dxfId="627" priority="1" operator="equal">
      <formula>"NATALIA"</formula>
    </cfRule>
    <cfRule type="cellIs" dxfId="626" priority="2" operator="equal">
      <formula>"DELIS"</formula>
    </cfRule>
    <cfRule type="cellIs" dxfId="625" priority="3" operator="equal">
      <formula>"CESAR"</formula>
    </cfRule>
    <cfRule type="cellIs" dxfId="624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4" max="4" width="14.5703125" customWidth="1"/>
    <col min="5" max="5" width="14.140625" customWidth="1"/>
    <col min="6" max="6" width="13.4257812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44852</v>
      </c>
      <c r="B2" t="s">
        <v>762</v>
      </c>
      <c r="C2" s="4">
        <v>50000</v>
      </c>
      <c r="D2" s="10" t="s">
        <v>26</v>
      </c>
      <c r="F2" t="s">
        <v>25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44902</v>
      </c>
      <c r="B3" t="s">
        <v>813</v>
      </c>
      <c r="C3" s="4">
        <v>30000</v>
      </c>
      <c r="D3" s="10" t="s">
        <v>26</v>
      </c>
      <c r="F3" t="s">
        <v>10</v>
      </c>
      <c r="I3" s="4">
        <f t="shared" si="0"/>
        <v>0</v>
      </c>
    </row>
    <row r="4" spans="1:11" x14ac:dyDescent="0.25">
      <c r="A4" s="2">
        <v>45224</v>
      </c>
      <c r="B4" t="s">
        <v>1149</v>
      </c>
      <c r="C4" s="4">
        <v>130000</v>
      </c>
      <c r="D4" s="10" t="s">
        <v>26</v>
      </c>
      <c r="F4" t="s">
        <v>10</v>
      </c>
      <c r="I4" s="4">
        <f t="shared" si="0"/>
        <v>0</v>
      </c>
    </row>
    <row r="5" spans="1:11" x14ac:dyDescent="0.25">
      <c r="A5" s="2">
        <v>45265</v>
      </c>
      <c r="B5" t="s">
        <v>1187</v>
      </c>
      <c r="C5" s="4">
        <v>46000</v>
      </c>
      <c r="D5" s="10" t="s">
        <v>26</v>
      </c>
      <c r="I5" s="4">
        <f t="shared" si="0"/>
        <v>0</v>
      </c>
    </row>
    <row r="6" spans="1:11" x14ac:dyDescent="0.25">
      <c r="A6" s="2">
        <v>44937</v>
      </c>
      <c r="B6" t="s">
        <v>1216</v>
      </c>
      <c r="C6" s="4">
        <v>52000</v>
      </c>
      <c r="D6" s="10" t="s">
        <v>26</v>
      </c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23" priority="7" operator="equal">
      <formula>"PAGADO"</formula>
    </cfRule>
    <cfRule type="cellIs" dxfId="622" priority="8" operator="equal">
      <formula>"PENDIENTE"</formula>
    </cfRule>
    <cfRule type="cellIs" dxfId="621" priority="9" operator="equal">
      <formula>"""PENDIENTE"""</formula>
    </cfRule>
  </conditionalFormatting>
  <conditionalFormatting sqref="E1:E1048576">
    <cfRule type="cellIs" dxfId="620" priority="5" operator="equal">
      <formula>"FACTURADO"</formula>
    </cfRule>
    <cfRule type="cellIs" dxfId="619" priority="6" operator="equal">
      <formula>"NO FACTURADO"</formula>
    </cfRule>
  </conditionalFormatting>
  <conditionalFormatting sqref="F1:F1048576">
    <cfRule type="cellIs" dxfId="618" priority="1" operator="equal">
      <formula>"NATALIA"</formula>
    </cfRule>
    <cfRule type="cellIs" dxfId="617" priority="2" operator="equal">
      <formula>"DELIS"</formula>
    </cfRule>
    <cfRule type="cellIs" dxfId="616" priority="3" operator="equal">
      <formula>"CESAR"</formula>
    </cfRule>
    <cfRule type="cellIs" dxfId="61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44894</v>
      </c>
      <c r="B2" t="s">
        <v>807</v>
      </c>
      <c r="C2" s="4">
        <v>100000</v>
      </c>
      <c r="D2" s="10" t="s">
        <v>157</v>
      </c>
      <c r="F2" t="s">
        <v>270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44945</v>
      </c>
      <c r="B3" t="s">
        <v>869</v>
      </c>
      <c r="C3" s="4">
        <v>59500</v>
      </c>
      <c r="D3" t="s">
        <v>157</v>
      </c>
      <c r="F3" t="s">
        <v>10</v>
      </c>
      <c r="I3" s="4">
        <f t="shared" si="0"/>
        <v>0</v>
      </c>
    </row>
    <row r="4" spans="1:11" x14ac:dyDescent="0.25">
      <c r="A4" s="2">
        <v>44992</v>
      </c>
      <c r="B4" t="s">
        <v>911</v>
      </c>
      <c r="C4" s="4">
        <v>65000</v>
      </c>
      <c r="D4" t="s">
        <v>26</v>
      </c>
      <c r="F4" t="s">
        <v>229</v>
      </c>
      <c r="I4" s="4">
        <f t="shared" si="0"/>
        <v>0</v>
      </c>
    </row>
    <row r="5" spans="1:11" x14ac:dyDescent="0.25">
      <c r="A5" s="2">
        <v>45077</v>
      </c>
      <c r="B5" t="s">
        <v>988</v>
      </c>
      <c r="C5" s="4">
        <v>21500</v>
      </c>
      <c r="D5" t="s">
        <v>26</v>
      </c>
      <c r="F5" s="12" t="s">
        <v>292</v>
      </c>
      <c r="I5" s="4">
        <f t="shared" si="0"/>
        <v>0</v>
      </c>
    </row>
    <row r="6" spans="1:11" x14ac:dyDescent="0.25">
      <c r="A6" s="2">
        <v>45146</v>
      </c>
      <c r="B6" t="s">
        <v>1066</v>
      </c>
      <c r="C6" s="4">
        <v>80000</v>
      </c>
      <c r="D6" t="s">
        <v>26</v>
      </c>
      <c r="F6" s="12" t="s">
        <v>229</v>
      </c>
      <c r="I6" s="4">
        <f t="shared" si="0"/>
        <v>0</v>
      </c>
    </row>
    <row r="7" spans="1:11" x14ac:dyDescent="0.25">
      <c r="A7" s="2">
        <v>45217</v>
      </c>
      <c r="B7" t="s">
        <v>1134</v>
      </c>
      <c r="C7" s="4">
        <v>15000</v>
      </c>
      <c r="D7" t="s">
        <v>26</v>
      </c>
      <c r="F7" s="12" t="s">
        <v>10</v>
      </c>
      <c r="I7" s="4">
        <f t="shared" si="0"/>
        <v>0</v>
      </c>
    </row>
    <row r="8" spans="1:11" x14ac:dyDescent="0.25">
      <c r="A8" s="2">
        <v>45225</v>
      </c>
      <c r="B8" t="s">
        <v>1144</v>
      </c>
      <c r="C8" s="4">
        <v>38500</v>
      </c>
      <c r="D8" t="s">
        <v>26</v>
      </c>
      <c r="F8" s="12" t="s">
        <v>229</v>
      </c>
      <c r="I8" s="4">
        <f t="shared" si="0"/>
        <v>0</v>
      </c>
    </row>
    <row r="9" spans="1:11" x14ac:dyDescent="0.25">
      <c r="A9" s="2">
        <v>45331</v>
      </c>
      <c r="B9" t="s">
        <v>1247</v>
      </c>
      <c r="C9" s="4">
        <v>20000</v>
      </c>
      <c r="D9" t="s">
        <v>157</v>
      </c>
      <c r="I9" s="4">
        <f t="shared" si="0"/>
        <v>0</v>
      </c>
    </row>
    <row r="10" spans="1:11" x14ac:dyDescent="0.25">
      <c r="A10" s="2">
        <v>45446</v>
      </c>
      <c r="B10" t="s">
        <v>1353</v>
      </c>
      <c r="C10" s="4">
        <v>420000</v>
      </c>
      <c r="D10" t="s">
        <v>157</v>
      </c>
      <c r="E10" t="s">
        <v>1354</v>
      </c>
      <c r="I10" s="4">
        <f t="shared" si="0"/>
        <v>0</v>
      </c>
    </row>
    <row r="11" spans="1:11" x14ac:dyDescent="0.25">
      <c r="A11" s="2">
        <v>45471</v>
      </c>
      <c r="B11" t="s">
        <v>1383</v>
      </c>
      <c r="C11" s="4">
        <v>16000</v>
      </c>
      <c r="D11" t="s">
        <v>157</v>
      </c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14" priority="7" operator="equal">
      <formula>"PAGADO"</formula>
    </cfRule>
    <cfRule type="cellIs" dxfId="613" priority="8" operator="equal">
      <formula>"PENDIENTE"</formula>
    </cfRule>
    <cfRule type="cellIs" dxfId="612" priority="9" operator="equal">
      <formula>"""PENDIENTE"""</formula>
    </cfRule>
  </conditionalFormatting>
  <conditionalFormatting sqref="E1:E1048576">
    <cfRule type="cellIs" dxfId="611" priority="5" operator="equal">
      <formula>"FACTURADO"</formula>
    </cfRule>
    <cfRule type="cellIs" dxfId="610" priority="6" operator="equal">
      <formula>"NO FACTURADO"</formula>
    </cfRule>
  </conditionalFormatting>
  <conditionalFormatting sqref="F1:F1048576">
    <cfRule type="cellIs" dxfId="609" priority="1" operator="equal">
      <formula>"NATALIA"</formula>
    </cfRule>
    <cfRule type="cellIs" dxfId="608" priority="2" operator="equal">
      <formula>"DELIS"</formula>
    </cfRule>
    <cfRule type="cellIs" dxfId="607" priority="3" operator="equal">
      <formula>"CESAR"</formula>
    </cfRule>
    <cfRule type="cellIs" dxfId="60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C2" s="4">
        <v>15000</v>
      </c>
      <c r="D2" s="10" t="s">
        <v>7</v>
      </c>
      <c r="H2" t="str">
        <f>IF(E:E="NO FACTURADO","PENDIENTE","AL DIA")</f>
        <v>AL DIA</v>
      </c>
      <c r="I2" s="4">
        <f t="shared" ref="I2:I37" si="0">IF(D2="PENDIENTE",C2,0)</f>
        <v>15000</v>
      </c>
      <c r="J2" s="4">
        <f>SUM(I:I)</f>
        <v>15000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605" priority="7" operator="equal">
      <formula>"PAGADO"</formula>
    </cfRule>
    <cfRule type="cellIs" dxfId="604" priority="8" operator="equal">
      <formula>"PENDIENTE"</formula>
    </cfRule>
    <cfRule type="cellIs" dxfId="603" priority="9" operator="equal">
      <formula>"""PENDIENTE"""</formula>
    </cfRule>
  </conditionalFormatting>
  <conditionalFormatting sqref="E1:E1048576">
    <cfRule type="cellIs" dxfId="602" priority="5" operator="equal">
      <formula>"FACTURADO"</formula>
    </cfRule>
    <cfRule type="cellIs" dxfId="601" priority="6" operator="equal">
      <formula>"NO FACTURADO"</formula>
    </cfRule>
  </conditionalFormatting>
  <conditionalFormatting sqref="F1:F1048576">
    <cfRule type="cellIs" dxfId="600" priority="1" operator="equal">
      <formula>"NATALIA"</formula>
    </cfRule>
    <cfRule type="cellIs" dxfId="599" priority="2" operator="equal">
      <formula>"DELIS"</formula>
    </cfRule>
    <cfRule type="cellIs" dxfId="598" priority="3" operator="equal">
      <formula>"CESAR"</formula>
    </cfRule>
    <cfRule type="cellIs" dxfId="59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96" priority="7" operator="equal">
      <formula>"PAGADO"</formula>
    </cfRule>
    <cfRule type="cellIs" dxfId="595" priority="8" operator="equal">
      <formula>"PENDIENTE"</formula>
    </cfRule>
    <cfRule type="cellIs" dxfId="594" priority="9" operator="equal">
      <formula>"""PENDIENTE"""</formula>
    </cfRule>
  </conditionalFormatting>
  <conditionalFormatting sqref="E1:E1048576">
    <cfRule type="cellIs" dxfId="593" priority="5" operator="equal">
      <formula>"FACTURADO"</formula>
    </cfRule>
    <cfRule type="cellIs" dxfId="592" priority="6" operator="equal">
      <formula>"NO FACTURADO"</formula>
    </cfRule>
  </conditionalFormatting>
  <conditionalFormatting sqref="F1:F1048576">
    <cfRule type="cellIs" dxfId="591" priority="1" operator="equal">
      <formula>"NATALIA"</formula>
    </cfRule>
    <cfRule type="cellIs" dxfId="590" priority="2" operator="equal">
      <formula>"DELIS"</formula>
    </cfRule>
    <cfRule type="cellIs" dxfId="589" priority="3" operator="equal">
      <formula>"CESAR"</formula>
    </cfRule>
    <cfRule type="cellIs" dxfId="58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D13" sqref="D13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 t="s">
        <v>364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45107</v>
      </c>
      <c r="B3" t="s">
        <v>1021</v>
      </c>
      <c r="C3" s="4">
        <v>10000</v>
      </c>
      <c r="D3" s="10" t="s">
        <v>157</v>
      </c>
      <c r="F3" t="s">
        <v>270</v>
      </c>
      <c r="I3" s="4">
        <f t="shared" si="0"/>
        <v>0</v>
      </c>
    </row>
    <row r="4" spans="1:11" x14ac:dyDescent="0.25">
      <c r="A4" s="2">
        <v>45348</v>
      </c>
      <c r="B4" t="s">
        <v>1271</v>
      </c>
      <c r="C4" s="4">
        <v>18000</v>
      </c>
      <c r="D4" t="s">
        <v>157</v>
      </c>
      <c r="I4" s="4">
        <f t="shared" si="0"/>
        <v>0</v>
      </c>
    </row>
    <row r="5" spans="1:11" x14ac:dyDescent="0.25">
      <c r="A5" s="2">
        <v>45436</v>
      </c>
      <c r="B5" t="s">
        <v>1338</v>
      </c>
      <c r="C5" s="4">
        <v>5000</v>
      </c>
      <c r="D5" t="s">
        <v>157</v>
      </c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87" priority="7" operator="equal">
      <formula>"PAGADO"</formula>
    </cfRule>
    <cfRule type="cellIs" dxfId="586" priority="8" operator="equal">
      <formula>"PENDIENTE"</formula>
    </cfRule>
    <cfRule type="cellIs" dxfId="585" priority="9" operator="equal">
      <formula>"""PENDIENTE"""</formula>
    </cfRule>
  </conditionalFormatting>
  <conditionalFormatting sqref="E1:E1048576">
    <cfRule type="cellIs" dxfId="584" priority="5" operator="equal">
      <formula>"FACTURADO"</formula>
    </cfRule>
    <cfRule type="cellIs" dxfId="583" priority="6" operator="equal">
      <formula>"NO FACTURADO"</formula>
    </cfRule>
  </conditionalFormatting>
  <conditionalFormatting sqref="F1:F1048576">
    <cfRule type="cellIs" dxfId="582" priority="1" operator="equal">
      <formula>"NATALIA"</formula>
    </cfRule>
    <cfRule type="cellIs" dxfId="581" priority="2" operator="equal">
      <formula>"DELIS"</formula>
    </cfRule>
    <cfRule type="cellIs" dxfId="580" priority="3" operator="equal">
      <formula>"CESAR"</formula>
    </cfRule>
    <cfRule type="cellIs" dxfId="579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78" priority="7" operator="equal">
      <formula>"PAGADO"</formula>
    </cfRule>
    <cfRule type="cellIs" dxfId="577" priority="8" operator="equal">
      <formula>"PENDIENTE"</formula>
    </cfRule>
    <cfRule type="cellIs" dxfId="576" priority="9" operator="equal">
      <formula>"""PENDIENTE"""</formula>
    </cfRule>
  </conditionalFormatting>
  <conditionalFormatting sqref="E1:E1048576">
    <cfRule type="cellIs" dxfId="575" priority="5" operator="equal">
      <formula>"FACTURADO"</formula>
    </cfRule>
    <cfRule type="cellIs" dxfId="574" priority="6" operator="equal">
      <formula>"NO FACTURADO"</formula>
    </cfRule>
  </conditionalFormatting>
  <conditionalFormatting sqref="F1:F1048576">
    <cfRule type="cellIs" dxfId="573" priority="1" operator="equal">
      <formula>"NATALIA"</formula>
    </cfRule>
    <cfRule type="cellIs" dxfId="572" priority="2" operator="equal">
      <formula>"DELIS"</formula>
    </cfRule>
    <cfRule type="cellIs" dxfId="571" priority="3" operator="equal">
      <formula>"CESAR"</formula>
    </cfRule>
    <cfRule type="cellIs" dxfId="570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45072</v>
      </c>
      <c r="B3" t="s">
        <v>983</v>
      </c>
      <c r="C3" s="4">
        <v>48000</v>
      </c>
      <c r="D3" t="s">
        <v>26</v>
      </c>
      <c r="F3" t="s">
        <v>229</v>
      </c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69" priority="7" operator="equal">
      <formula>"PAGADO"</formula>
    </cfRule>
    <cfRule type="cellIs" dxfId="568" priority="8" operator="equal">
      <formula>"PENDIENTE"</formula>
    </cfRule>
    <cfRule type="cellIs" dxfId="567" priority="9" operator="equal">
      <formula>"""PENDIENTE"""</formula>
    </cfRule>
  </conditionalFormatting>
  <conditionalFormatting sqref="E1:E1048576">
    <cfRule type="cellIs" dxfId="566" priority="5" operator="equal">
      <formula>"FACTURADO"</formula>
    </cfRule>
    <cfRule type="cellIs" dxfId="565" priority="6" operator="equal">
      <formula>"NO FACTURADO"</formula>
    </cfRule>
  </conditionalFormatting>
  <conditionalFormatting sqref="F1:F1048576">
    <cfRule type="cellIs" dxfId="564" priority="1" operator="equal">
      <formula>"NATALIA"</formula>
    </cfRule>
    <cfRule type="cellIs" dxfId="563" priority="2" operator="equal">
      <formula>"DELIS"</formula>
    </cfRule>
    <cfRule type="cellIs" dxfId="562" priority="3" operator="equal">
      <formula>"CESAR"</formula>
    </cfRule>
    <cfRule type="cellIs" dxfId="56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C1" sqref="C1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60" priority="7" operator="equal">
      <formula>"PAGADO"</formula>
    </cfRule>
    <cfRule type="cellIs" dxfId="559" priority="8" operator="equal">
      <formula>"PENDIENTE"</formula>
    </cfRule>
    <cfRule type="cellIs" dxfId="558" priority="9" operator="equal">
      <formula>"""PENDIENTE"""</formula>
    </cfRule>
  </conditionalFormatting>
  <conditionalFormatting sqref="E1:E1048576">
    <cfRule type="cellIs" dxfId="557" priority="5" operator="equal">
      <formula>"FACTURADO"</formula>
    </cfRule>
    <cfRule type="cellIs" dxfId="556" priority="6" operator="equal">
      <formula>"NO FACTURADO"</formula>
    </cfRule>
  </conditionalFormatting>
  <conditionalFormatting sqref="F1:F1048576">
    <cfRule type="cellIs" dxfId="555" priority="1" operator="equal">
      <formula>"NATALIA"</formula>
    </cfRule>
    <cfRule type="cellIs" dxfId="554" priority="2" operator="equal">
      <formula>"DELIS"</formula>
    </cfRule>
    <cfRule type="cellIs" dxfId="553" priority="3" operator="equal">
      <formula>"CESAR"</formula>
    </cfRule>
    <cfRule type="cellIs" dxfId="552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C2" s="4">
        <v>12000</v>
      </c>
      <c r="D2" s="10" t="s">
        <v>7</v>
      </c>
      <c r="F2" t="s">
        <v>10</v>
      </c>
      <c r="H2" t="str">
        <f>IF(E:E="NO FACTURADO","PENDIENTE","AL DIA")</f>
        <v>AL DIA</v>
      </c>
      <c r="I2" s="4">
        <f t="shared" ref="I2:I37" si="0">IF(D2="PENDIENTE",C2,0)</f>
        <v>12000</v>
      </c>
      <c r="J2" s="4">
        <f>SUM(I:I)</f>
        <v>12000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51" priority="7" operator="equal">
      <formula>"PAGADO"</formula>
    </cfRule>
    <cfRule type="cellIs" dxfId="550" priority="8" operator="equal">
      <formula>"PENDIENTE"</formula>
    </cfRule>
    <cfRule type="cellIs" dxfId="549" priority="9" operator="equal">
      <formula>"""PENDIENTE"""</formula>
    </cfRule>
  </conditionalFormatting>
  <conditionalFormatting sqref="E1:E1048576">
    <cfRule type="cellIs" dxfId="548" priority="5" operator="equal">
      <formula>"FACTURADO"</formula>
    </cfRule>
    <cfRule type="cellIs" dxfId="547" priority="6" operator="equal">
      <formula>"NO FACTURADO"</formula>
    </cfRule>
  </conditionalFormatting>
  <conditionalFormatting sqref="F1:F1048576">
    <cfRule type="cellIs" dxfId="546" priority="1" operator="equal">
      <formula>"NATALIA"</formula>
    </cfRule>
    <cfRule type="cellIs" dxfId="545" priority="2" operator="equal">
      <formula>"DELIS"</formula>
    </cfRule>
    <cfRule type="cellIs" dxfId="544" priority="3" operator="equal">
      <formula>"CESAR"</formula>
    </cfRule>
    <cfRule type="cellIs" dxfId="543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baseColWidth="10" defaultRowHeight="15" x14ac:dyDescent="0.25"/>
  <cols>
    <col min="2" max="2" width="33.570312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44638</v>
      </c>
      <c r="B2" t="s">
        <v>570</v>
      </c>
      <c r="C2" s="4">
        <v>3000</v>
      </c>
      <c r="D2" s="10" t="s">
        <v>26</v>
      </c>
      <c r="E2" t="s">
        <v>581</v>
      </c>
      <c r="F2" t="s">
        <v>25</v>
      </c>
      <c r="H2" t="str">
        <f>IF(E:E="NO FACTURADO","PENDIENTE","AL DIA")</f>
        <v>AL DIA</v>
      </c>
      <c r="I2" s="4">
        <f t="shared" ref="I2:I36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44648</v>
      </c>
      <c r="B3" t="s">
        <v>580</v>
      </c>
      <c r="C3" s="4">
        <v>7000</v>
      </c>
      <c r="D3" t="s">
        <v>26</v>
      </c>
      <c r="E3" t="s">
        <v>581</v>
      </c>
      <c r="F3" t="s">
        <v>25</v>
      </c>
      <c r="I3" s="4">
        <f t="shared" si="0"/>
        <v>0</v>
      </c>
    </row>
    <row r="4" spans="1:11" x14ac:dyDescent="0.25">
      <c r="A4" s="2">
        <v>44665</v>
      </c>
      <c r="B4" t="s">
        <v>570</v>
      </c>
      <c r="C4" s="4">
        <v>4000</v>
      </c>
      <c r="D4" t="s">
        <v>26</v>
      </c>
      <c r="F4" t="s">
        <v>25</v>
      </c>
      <c r="I4" s="4">
        <f t="shared" si="0"/>
        <v>0</v>
      </c>
    </row>
    <row r="5" spans="1:11" x14ac:dyDescent="0.25">
      <c r="A5" s="2">
        <v>44704</v>
      </c>
      <c r="B5" t="s">
        <v>625</v>
      </c>
      <c r="C5" s="4">
        <v>98000</v>
      </c>
      <c r="D5" s="12" t="s">
        <v>26</v>
      </c>
      <c r="I5" s="4">
        <f t="shared" si="0"/>
        <v>0</v>
      </c>
    </row>
    <row r="6" spans="1:11" x14ac:dyDescent="0.25">
      <c r="A6" s="2">
        <v>44711</v>
      </c>
      <c r="B6" t="s">
        <v>631</v>
      </c>
      <c r="C6" s="4">
        <v>100000</v>
      </c>
      <c r="D6" s="12" t="s">
        <v>26</v>
      </c>
      <c r="I6" s="4">
        <f t="shared" si="0"/>
        <v>0</v>
      </c>
    </row>
    <row r="7" spans="1:11" x14ac:dyDescent="0.25">
      <c r="A7" s="2">
        <v>44750</v>
      </c>
      <c r="B7" t="s">
        <v>661</v>
      </c>
      <c r="C7" s="4">
        <v>458000</v>
      </c>
      <c r="D7" s="12" t="s">
        <v>26</v>
      </c>
      <c r="F7" t="s">
        <v>25</v>
      </c>
      <c r="I7" s="4">
        <f t="shared" si="0"/>
        <v>0</v>
      </c>
    </row>
    <row r="8" spans="1:11" x14ac:dyDescent="0.25">
      <c r="A8" s="2">
        <v>44665</v>
      </c>
      <c r="B8" t="s">
        <v>665</v>
      </c>
      <c r="C8" s="4">
        <v>4000</v>
      </c>
      <c r="D8" s="12" t="s">
        <v>26</v>
      </c>
      <c r="F8" t="s">
        <v>664</v>
      </c>
      <c r="I8" s="4">
        <f t="shared" si="0"/>
        <v>0</v>
      </c>
    </row>
    <row r="9" spans="1:11" x14ac:dyDescent="0.25">
      <c r="A9" s="2">
        <v>44764</v>
      </c>
      <c r="B9" t="s">
        <v>671</v>
      </c>
      <c r="C9" s="4">
        <v>10000</v>
      </c>
      <c r="D9" s="12" t="s">
        <v>26</v>
      </c>
      <c r="F9" t="s">
        <v>25</v>
      </c>
      <c r="I9" s="4">
        <f t="shared" si="0"/>
        <v>0</v>
      </c>
    </row>
    <row r="10" spans="1:11" x14ac:dyDescent="0.25">
      <c r="A10" s="2">
        <v>44767</v>
      </c>
      <c r="B10" t="s">
        <v>673</v>
      </c>
      <c r="C10" s="4">
        <v>43500</v>
      </c>
      <c r="D10" s="12" t="s">
        <v>26</v>
      </c>
      <c r="F10" t="s">
        <v>25</v>
      </c>
      <c r="I10" s="4">
        <f t="shared" si="0"/>
        <v>0</v>
      </c>
    </row>
    <row r="11" spans="1:11" x14ac:dyDescent="0.25">
      <c r="A11" s="2">
        <v>44795</v>
      </c>
      <c r="B11" t="s">
        <v>706</v>
      </c>
      <c r="C11" s="4">
        <v>22000</v>
      </c>
      <c r="D11" s="12" t="s">
        <v>26</v>
      </c>
      <c r="F11" t="s">
        <v>25</v>
      </c>
      <c r="I11" s="4">
        <f t="shared" si="0"/>
        <v>0</v>
      </c>
    </row>
    <row r="12" spans="1:11" x14ac:dyDescent="0.25">
      <c r="A12" s="2">
        <v>44795</v>
      </c>
      <c r="B12" t="s">
        <v>707</v>
      </c>
      <c r="C12" s="4">
        <v>20000</v>
      </c>
      <c r="D12" s="12" t="s">
        <v>26</v>
      </c>
      <c r="F12" t="s">
        <v>25</v>
      </c>
      <c r="I12" s="4">
        <f t="shared" si="0"/>
        <v>0</v>
      </c>
    </row>
    <row r="13" spans="1:11" x14ac:dyDescent="0.25">
      <c r="A13" s="2">
        <v>44796</v>
      </c>
      <c r="B13" t="s">
        <v>709</v>
      </c>
      <c r="C13" s="4">
        <v>25000</v>
      </c>
      <c r="D13" s="12" t="s">
        <v>26</v>
      </c>
      <c r="F13" t="s">
        <v>25</v>
      </c>
      <c r="I13" s="4">
        <f t="shared" si="0"/>
        <v>0</v>
      </c>
    </row>
    <row r="14" spans="1:11" x14ac:dyDescent="0.25">
      <c r="A14" s="2">
        <v>44798</v>
      </c>
      <c r="B14" t="s">
        <v>710</v>
      </c>
      <c r="C14" s="4">
        <v>12000</v>
      </c>
      <c r="D14" s="12" t="s">
        <v>26</v>
      </c>
      <c r="F14" t="s">
        <v>25</v>
      </c>
      <c r="I14" s="4">
        <f t="shared" si="0"/>
        <v>0</v>
      </c>
    </row>
    <row r="15" spans="1:11" x14ac:dyDescent="0.25">
      <c r="A15" s="2">
        <v>44809</v>
      </c>
      <c r="B15" t="s">
        <v>723</v>
      </c>
      <c r="C15" s="4">
        <v>7000</v>
      </c>
      <c r="D15" s="12" t="s">
        <v>26</v>
      </c>
      <c r="F15" t="s">
        <v>25</v>
      </c>
      <c r="I15" s="4">
        <f t="shared" si="0"/>
        <v>0</v>
      </c>
    </row>
    <row r="16" spans="1:11" x14ac:dyDescent="0.25">
      <c r="A16" s="2">
        <v>44826</v>
      </c>
      <c r="B16" t="s">
        <v>741</v>
      </c>
      <c r="C16" s="4">
        <v>72000</v>
      </c>
      <c r="D16" s="12" t="s">
        <v>26</v>
      </c>
      <c r="F16" t="s">
        <v>25</v>
      </c>
      <c r="I16" s="4">
        <f t="shared" si="0"/>
        <v>0</v>
      </c>
    </row>
    <row r="17" spans="1:9" x14ac:dyDescent="0.25">
      <c r="A17" s="2">
        <v>44854</v>
      </c>
      <c r="B17" t="s">
        <v>764</v>
      </c>
      <c r="C17" s="4">
        <v>53000</v>
      </c>
      <c r="D17" s="12" t="s">
        <v>26</v>
      </c>
      <c r="F17" t="s">
        <v>25</v>
      </c>
      <c r="I17" s="4">
        <f t="shared" si="0"/>
        <v>0</v>
      </c>
    </row>
    <row r="18" spans="1:9" x14ac:dyDescent="0.25">
      <c r="A18" s="2">
        <v>44874</v>
      </c>
      <c r="B18" t="s">
        <v>789</v>
      </c>
      <c r="C18" s="4">
        <v>150000</v>
      </c>
      <c r="D18" s="12" t="s">
        <v>794</v>
      </c>
      <c r="F18" t="s">
        <v>25</v>
      </c>
      <c r="I18" s="4">
        <f t="shared" si="0"/>
        <v>0</v>
      </c>
    </row>
    <row r="19" spans="1:9" x14ac:dyDescent="0.25">
      <c r="A19" s="2">
        <v>44886</v>
      </c>
      <c r="B19" t="s">
        <v>799</v>
      </c>
      <c r="C19" s="4">
        <v>91000</v>
      </c>
      <c r="D19" s="12" t="s">
        <v>26</v>
      </c>
      <c r="F19" t="s">
        <v>25</v>
      </c>
      <c r="I19" s="4">
        <f t="shared" si="0"/>
        <v>0</v>
      </c>
    </row>
    <row r="20" spans="1:9" x14ac:dyDescent="0.25">
      <c r="A20" s="2">
        <v>44886</v>
      </c>
      <c r="B20" t="s">
        <v>800</v>
      </c>
      <c r="C20" s="4">
        <v>120000</v>
      </c>
      <c r="D20" s="12" t="s">
        <v>26</v>
      </c>
      <c r="F20" t="s">
        <v>25</v>
      </c>
      <c r="I20" s="4">
        <f t="shared" si="0"/>
        <v>0</v>
      </c>
    </row>
    <row r="21" spans="1:9" x14ac:dyDescent="0.25">
      <c r="A21" s="2">
        <v>44887</v>
      </c>
      <c r="B21" t="s">
        <v>802</v>
      </c>
      <c r="C21" s="4">
        <v>72000</v>
      </c>
      <c r="D21" s="12" t="s">
        <v>26</v>
      </c>
      <c r="F21" t="s">
        <v>25</v>
      </c>
      <c r="I21" s="4">
        <f t="shared" si="0"/>
        <v>0</v>
      </c>
    </row>
    <row r="22" spans="1:9" x14ac:dyDescent="0.25">
      <c r="A22" s="2">
        <v>44887</v>
      </c>
      <c r="B22" t="s">
        <v>802</v>
      </c>
      <c r="C22" s="4">
        <v>24000</v>
      </c>
      <c r="D22" s="12" t="s">
        <v>26</v>
      </c>
      <c r="F22" t="s">
        <v>25</v>
      </c>
      <c r="I22" s="4">
        <f t="shared" si="0"/>
        <v>0</v>
      </c>
    </row>
    <row r="23" spans="1:9" x14ac:dyDescent="0.25">
      <c r="A23" s="2">
        <v>44893</v>
      </c>
      <c r="B23" t="s">
        <v>808</v>
      </c>
      <c r="C23" s="4">
        <v>170000</v>
      </c>
      <c r="D23" s="12" t="s">
        <v>26</v>
      </c>
      <c r="F23" t="s">
        <v>25</v>
      </c>
      <c r="I23" s="4">
        <f t="shared" si="0"/>
        <v>0</v>
      </c>
    </row>
    <row r="24" spans="1:9" x14ac:dyDescent="0.25">
      <c r="A24" s="2">
        <v>45215</v>
      </c>
      <c r="B24" t="s">
        <v>1126</v>
      </c>
      <c r="C24" s="4">
        <v>40500</v>
      </c>
      <c r="D24" s="12" t="s">
        <v>794</v>
      </c>
      <c r="F24" t="s">
        <v>25</v>
      </c>
      <c r="I24" s="4">
        <f t="shared" si="0"/>
        <v>0</v>
      </c>
    </row>
    <row r="25" spans="1:9" x14ac:dyDescent="0.25">
      <c r="I25" s="4">
        <f t="shared" si="0"/>
        <v>0</v>
      </c>
    </row>
    <row r="26" spans="1:9" x14ac:dyDescent="0.25">
      <c r="I26" s="4">
        <f t="shared" si="0"/>
        <v>0</v>
      </c>
    </row>
    <row r="27" spans="1:9" x14ac:dyDescent="0.25">
      <c r="I27" s="4">
        <f t="shared" si="0"/>
        <v>0</v>
      </c>
    </row>
    <row r="28" spans="1:9" x14ac:dyDescent="0.25">
      <c r="I28" s="4">
        <f t="shared" si="0"/>
        <v>0</v>
      </c>
    </row>
    <row r="29" spans="1:9" x14ac:dyDescent="0.25">
      <c r="I29" s="4">
        <f t="shared" si="0"/>
        <v>0</v>
      </c>
    </row>
    <row r="30" spans="1:9" x14ac:dyDescent="0.25">
      <c r="I30" s="4">
        <f t="shared" si="0"/>
        <v>0</v>
      </c>
    </row>
    <row r="31" spans="1:9" x14ac:dyDescent="0.25">
      <c r="I31" s="4">
        <f t="shared" si="0"/>
        <v>0</v>
      </c>
    </row>
    <row r="32" spans="1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</sheetData>
  <conditionalFormatting sqref="D1:D1048576">
    <cfRule type="cellIs" dxfId="542" priority="7" operator="equal">
      <formula>"PAGADO"</formula>
    </cfRule>
    <cfRule type="cellIs" dxfId="541" priority="8" operator="equal">
      <formula>"PENDIENTE"</formula>
    </cfRule>
    <cfRule type="cellIs" dxfId="540" priority="9" operator="equal">
      <formula>"""PENDIENTE"""</formula>
    </cfRule>
  </conditionalFormatting>
  <conditionalFormatting sqref="E1:E1048576">
    <cfRule type="cellIs" dxfId="539" priority="5" operator="equal">
      <formula>"FACTURADO"</formula>
    </cfRule>
    <cfRule type="cellIs" dxfId="538" priority="6" operator="equal">
      <formula>"NO FACTURADO"</formula>
    </cfRule>
  </conditionalFormatting>
  <conditionalFormatting sqref="F1:F1048576">
    <cfRule type="cellIs" dxfId="537" priority="1" operator="equal">
      <formula>"NATALIA"</formula>
    </cfRule>
    <cfRule type="cellIs" dxfId="536" priority="2" operator="equal">
      <formula>"DELIS"</formula>
    </cfRule>
    <cfRule type="cellIs" dxfId="535" priority="3" operator="equal">
      <formula>"CESAR"</formula>
    </cfRule>
    <cfRule type="cellIs" dxfId="534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44623</v>
      </c>
      <c r="B3" t="s">
        <v>555</v>
      </c>
      <c r="C3" s="4">
        <v>592000</v>
      </c>
      <c r="D3" t="s">
        <v>157</v>
      </c>
      <c r="E3" t="s">
        <v>158</v>
      </c>
      <c r="F3" t="s">
        <v>10</v>
      </c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533" priority="7" operator="equal">
      <formula>"PAGADO"</formula>
    </cfRule>
    <cfRule type="cellIs" dxfId="532" priority="8" operator="equal">
      <formula>"PENDIENTE"</formula>
    </cfRule>
    <cfRule type="cellIs" dxfId="531" priority="9" operator="equal">
      <formula>"""PENDIENTE"""</formula>
    </cfRule>
  </conditionalFormatting>
  <conditionalFormatting sqref="E1:E1048576">
    <cfRule type="cellIs" dxfId="530" priority="5" operator="equal">
      <formula>"FACTURADO"</formula>
    </cfRule>
    <cfRule type="cellIs" dxfId="529" priority="6" operator="equal">
      <formula>"NO FACTURADO"</formula>
    </cfRule>
  </conditionalFormatting>
  <conditionalFormatting sqref="F1:F1048576">
    <cfRule type="cellIs" dxfId="528" priority="1" operator="equal">
      <formula>"NATALIA"</formula>
    </cfRule>
    <cfRule type="cellIs" dxfId="527" priority="2" operator="equal">
      <formula>"DELIS"</formula>
    </cfRule>
    <cfRule type="cellIs" dxfId="526" priority="3" operator="equal">
      <formula>"CESAR"</formula>
    </cfRule>
    <cfRule type="cellIs" dxfId="52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524" priority="7" operator="equal">
      <formula>"PAGADO"</formula>
    </cfRule>
    <cfRule type="cellIs" dxfId="523" priority="8" operator="equal">
      <formula>"PENDIENTE"</formula>
    </cfRule>
    <cfRule type="cellIs" dxfId="522" priority="9" operator="equal">
      <formula>"""PENDIENTE"""</formula>
    </cfRule>
  </conditionalFormatting>
  <conditionalFormatting sqref="E1:E1048576">
    <cfRule type="cellIs" dxfId="521" priority="5" operator="equal">
      <formula>"FACTURADO"</formula>
    </cfRule>
    <cfRule type="cellIs" dxfId="520" priority="6" operator="equal">
      <formula>"NO FACTURADO"</formula>
    </cfRule>
  </conditionalFormatting>
  <conditionalFormatting sqref="F1:F1048576">
    <cfRule type="cellIs" dxfId="519" priority="1" operator="equal">
      <formula>"NATALIA"</formula>
    </cfRule>
    <cfRule type="cellIs" dxfId="518" priority="2" operator="equal">
      <formula>"DELIS"</formula>
    </cfRule>
    <cfRule type="cellIs" dxfId="517" priority="3" operator="equal">
      <formula>"CESAR"</formula>
    </cfRule>
    <cfRule type="cellIs" dxfId="51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C1"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44384</v>
      </c>
      <c r="C2" s="4">
        <v>42000</v>
      </c>
      <c r="D2" s="10" t="s">
        <v>7</v>
      </c>
      <c r="H2" t="str">
        <f>IF(E:E="NO FACTURADO","PENDIENTE","AL DIA")</f>
        <v>AL DIA</v>
      </c>
      <c r="I2" s="4">
        <f>IF(D2="PENDIENTE",C2,0)</f>
        <v>42000</v>
      </c>
      <c r="J2" s="4">
        <f>SUM(I:I)</f>
        <v>56000</v>
      </c>
      <c r="K2" s="11" t="s">
        <v>121</v>
      </c>
    </row>
    <row r="3" spans="1:11" x14ac:dyDescent="0.25">
      <c r="A3" s="2">
        <v>44545</v>
      </c>
      <c r="B3" t="s">
        <v>449</v>
      </c>
      <c r="C3" s="4">
        <v>14000</v>
      </c>
      <c r="D3" s="10" t="s">
        <v>7</v>
      </c>
      <c r="I3" s="4">
        <f>IF(D3="PENDIENTE",C3,0)</f>
        <v>14000</v>
      </c>
    </row>
    <row r="4" spans="1:11" x14ac:dyDescent="0.25">
      <c r="I4" s="4">
        <f t="shared" ref="I4:I37" si="0">IF(D4="PENDIENTE",C4,0)</f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515" priority="7" operator="equal">
      <formula>"PAGADO"</formula>
    </cfRule>
    <cfRule type="cellIs" dxfId="514" priority="8" operator="equal">
      <formula>"PENDIENTE"</formula>
    </cfRule>
    <cfRule type="cellIs" dxfId="513" priority="9" operator="equal">
      <formula>"""PENDIENTE"""</formula>
    </cfRule>
  </conditionalFormatting>
  <conditionalFormatting sqref="E1:E1048576">
    <cfRule type="cellIs" dxfId="512" priority="5" operator="equal">
      <formula>"FACTURADO"</formula>
    </cfRule>
    <cfRule type="cellIs" dxfId="511" priority="6" operator="equal">
      <formula>"NO FACTURADO"</formula>
    </cfRule>
  </conditionalFormatting>
  <conditionalFormatting sqref="F1:F1048576">
    <cfRule type="cellIs" dxfId="510" priority="1" operator="equal">
      <formula>"NATALIA"</formula>
    </cfRule>
    <cfRule type="cellIs" dxfId="509" priority="2" operator="equal">
      <formula>"DELIS"</formula>
    </cfRule>
    <cfRule type="cellIs" dxfId="508" priority="3" operator="equal">
      <formula>"CESAR"</formula>
    </cfRule>
    <cfRule type="cellIs" dxfId="50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44665</v>
      </c>
      <c r="B2" t="s">
        <v>598</v>
      </c>
      <c r="C2" s="4">
        <v>50000</v>
      </c>
      <c r="D2" s="10" t="s">
        <v>26</v>
      </c>
      <c r="F2" t="s">
        <v>25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506" priority="7" operator="equal">
      <formula>"PAGADO"</formula>
    </cfRule>
    <cfRule type="cellIs" dxfId="505" priority="8" operator="equal">
      <formula>"PENDIENTE"</formula>
    </cfRule>
    <cfRule type="cellIs" dxfId="504" priority="9" operator="equal">
      <formula>"""PENDIENTE"""</formula>
    </cfRule>
  </conditionalFormatting>
  <conditionalFormatting sqref="E1:E1048576">
    <cfRule type="cellIs" dxfId="503" priority="5" operator="equal">
      <formula>"FACTURADO"</formula>
    </cfRule>
    <cfRule type="cellIs" dxfId="502" priority="6" operator="equal">
      <formula>"NO FACTURADO"</formula>
    </cfRule>
  </conditionalFormatting>
  <conditionalFormatting sqref="F1:F1048576">
    <cfRule type="cellIs" dxfId="501" priority="1" operator="equal">
      <formula>"NATALIA"</formula>
    </cfRule>
    <cfRule type="cellIs" dxfId="500" priority="2" operator="equal">
      <formula>"DELIS"</formula>
    </cfRule>
    <cfRule type="cellIs" dxfId="499" priority="3" operator="equal">
      <formula>"CESAR"</formula>
    </cfRule>
    <cfRule type="cellIs" dxfId="49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2" max="12" width="55.42578125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2" x14ac:dyDescent="0.25">
      <c r="A2" s="2">
        <v>44349</v>
      </c>
      <c r="B2" t="s">
        <v>821</v>
      </c>
      <c r="C2" s="4">
        <v>10000</v>
      </c>
      <c r="D2" t="s">
        <v>157</v>
      </c>
      <c r="E2" s="2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12000</v>
      </c>
      <c r="K2" s="11" t="s">
        <v>121</v>
      </c>
    </row>
    <row r="3" spans="1:12" x14ac:dyDescent="0.25">
      <c r="A3" s="2">
        <v>45524</v>
      </c>
      <c r="B3" t="s">
        <v>1418</v>
      </c>
      <c r="C3" s="4">
        <v>13000</v>
      </c>
      <c r="D3" t="s">
        <v>157</v>
      </c>
      <c r="I3" s="4">
        <f t="shared" si="0"/>
        <v>0</v>
      </c>
    </row>
    <row r="4" spans="1:12" x14ac:dyDescent="0.25">
      <c r="A4" s="2">
        <v>44430</v>
      </c>
      <c r="B4" t="s">
        <v>1420</v>
      </c>
      <c r="C4" s="4">
        <v>12000</v>
      </c>
      <c r="D4" t="s">
        <v>364</v>
      </c>
      <c r="I4" s="4">
        <f t="shared" si="0"/>
        <v>12000</v>
      </c>
      <c r="L4" t="s">
        <v>1427</v>
      </c>
    </row>
    <row r="5" spans="1:12" x14ac:dyDescent="0.25">
      <c r="I5" s="4">
        <f t="shared" si="0"/>
        <v>0</v>
      </c>
    </row>
    <row r="6" spans="1:12" x14ac:dyDescent="0.25">
      <c r="I6" s="4">
        <f t="shared" si="0"/>
        <v>0</v>
      </c>
    </row>
    <row r="7" spans="1:12" x14ac:dyDescent="0.25">
      <c r="I7" s="4">
        <f t="shared" si="0"/>
        <v>0</v>
      </c>
    </row>
    <row r="8" spans="1:12" x14ac:dyDescent="0.25">
      <c r="I8" s="4">
        <f t="shared" si="0"/>
        <v>0</v>
      </c>
    </row>
    <row r="9" spans="1:12" x14ac:dyDescent="0.25">
      <c r="I9" s="4">
        <f t="shared" si="0"/>
        <v>0</v>
      </c>
    </row>
    <row r="10" spans="1:12" x14ac:dyDescent="0.25">
      <c r="I10" s="4">
        <f t="shared" si="0"/>
        <v>0</v>
      </c>
    </row>
    <row r="11" spans="1:12" x14ac:dyDescent="0.25">
      <c r="I11" s="4">
        <f t="shared" si="0"/>
        <v>0</v>
      </c>
    </row>
    <row r="12" spans="1:12" x14ac:dyDescent="0.25">
      <c r="I12" s="4">
        <f t="shared" si="0"/>
        <v>0</v>
      </c>
    </row>
    <row r="13" spans="1:12" x14ac:dyDescent="0.25">
      <c r="I13" s="4">
        <f t="shared" si="0"/>
        <v>0</v>
      </c>
    </row>
    <row r="14" spans="1:12" x14ac:dyDescent="0.25">
      <c r="I14" s="4">
        <f t="shared" si="0"/>
        <v>0</v>
      </c>
    </row>
    <row r="15" spans="1:12" x14ac:dyDescent="0.25">
      <c r="I15" s="4">
        <f t="shared" si="0"/>
        <v>0</v>
      </c>
    </row>
    <row r="16" spans="1:12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97" priority="13" operator="equal">
      <formula>"PAGADO"</formula>
    </cfRule>
    <cfRule type="cellIs" dxfId="496" priority="14" operator="equal">
      <formula>"PENDIENTE"</formula>
    </cfRule>
    <cfRule type="cellIs" dxfId="495" priority="15" operator="equal">
      <formula>"""PENDIENTE"""</formula>
    </cfRule>
  </conditionalFormatting>
  <conditionalFormatting sqref="E1:E1048576">
    <cfRule type="cellIs" dxfId="494" priority="11" operator="equal">
      <formula>"FACTURADO"</formula>
    </cfRule>
    <cfRule type="cellIs" dxfId="493" priority="12" operator="equal">
      <formula>"NO FACTURADO"</formula>
    </cfRule>
  </conditionalFormatting>
  <conditionalFormatting sqref="F1:F1048576">
    <cfRule type="cellIs" dxfId="492" priority="7" operator="equal">
      <formula>"NATALIA"</formula>
    </cfRule>
    <cfRule type="cellIs" dxfId="491" priority="8" operator="equal">
      <formula>"DELIS"</formula>
    </cfRule>
    <cfRule type="cellIs" dxfId="490" priority="9" operator="equal">
      <formula>"CESAR"</formula>
    </cfRule>
    <cfRule type="cellIs" dxfId="489" priority="10" operator="equal">
      <formula>"OMAR"</formula>
    </cfRule>
  </conditionalFormatting>
  <conditionalFormatting sqref="A2">
    <cfRule type="cellIs" dxfId="488" priority="5" operator="equal">
      <formula>"FACTURADO"</formula>
    </cfRule>
    <cfRule type="cellIs" dxfId="487" priority="6" operator="equal">
      <formula>"NO FACTURADO"</formula>
    </cfRule>
  </conditionalFormatting>
  <conditionalFormatting sqref="B2">
    <cfRule type="cellIs" dxfId="486" priority="1" operator="equal">
      <formula>"NATALIA"</formula>
    </cfRule>
    <cfRule type="cellIs" dxfId="485" priority="2" operator="equal">
      <formula>"DELIS"</formula>
    </cfRule>
    <cfRule type="cellIs" dxfId="484" priority="3" operator="equal">
      <formula>"CESAR"</formula>
    </cfRule>
    <cfRule type="cellIs" dxfId="483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0" max="10" width="13.28515625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44358</v>
      </c>
      <c r="B2" t="s">
        <v>487</v>
      </c>
      <c r="C2" s="4">
        <v>67000</v>
      </c>
      <c r="D2" s="10" t="s">
        <v>7</v>
      </c>
      <c r="H2" t="str">
        <f>IF(E:E="NO FACTURADO","PENDIENTE","AL DIA")</f>
        <v>AL DIA</v>
      </c>
      <c r="I2" s="4">
        <f t="shared" ref="I2:I37" si="0">IF(D2="PENDIENTE",C2,0)</f>
        <v>67000</v>
      </c>
      <c r="J2" s="4">
        <f>SUM(I:I)</f>
        <v>356000</v>
      </c>
      <c r="K2" s="11" t="s">
        <v>121</v>
      </c>
    </row>
    <row r="3" spans="1:11" x14ac:dyDescent="0.25">
      <c r="A3" s="2">
        <v>44359</v>
      </c>
      <c r="B3" t="s">
        <v>486</v>
      </c>
      <c r="C3" s="4">
        <v>24000</v>
      </c>
      <c r="D3" s="10" t="s">
        <v>7</v>
      </c>
      <c r="I3" s="4">
        <f t="shared" si="0"/>
        <v>24000</v>
      </c>
    </row>
    <row r="4" spans="1:11" x14ac:dyDescent="0.25">
      <c r="B4" t="s">
        <v>499</v>
      </c>
      <c r="C4" s="4">
        <v>180000</v>
      </c>
      <c r="D4" s="10" t="s">
        <v>7</v>
      </c>
      <c r="I4" s="4">
        <f t="shared" si="0"/>
        <v>180000</v>
      </c>
    </row>
    <row r="5" spans="1:11" x14ac:dyDescent="0.25">
      <c r="A5" s="2">
        <v>44373</v>
      </c>
      <c r="B5" t="s">
        <v>485</v>
      </c>
      <c r="C5" s="4">
        <v>70000</v>
      </c>
      <c r="D5" s="10" t="s">
        <v>7</v>
      </c>
      <c r="I5" s="4">
        <f t="shared" si="0"/>
        <v>70000</v>
      </c>
    </row>
    <row r="6" spans="1:11" x14ac:dyDescent="0.25">
      <c r="B6" t="s">
        <v>484</v>
      </c>
      <c r="C6" s="4">
        <v>15000</v>
      </c>
      <c r="D6" s="10" t="s">
        <v>7</v>
      </c>
      <c r="I6" s="4">
        <f t="shared" si="0"/>
        <v>15000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82" priority="7" operator="equal">
      <formula>"PAGADO"</formula>
    </cfRule>
    <cfRule type="cellIs" dxfId="481" priority="8" operator="equal">
      <formula>"PENDIENTE"</formula>
    </cfRule>
    <cfRule type="cellIs" dxfId="480" priority="9" operator="equal">
      <formula>"""PENDIENTE"""</formula>
    </cfRule>
  </conditionalFormatting>
  <conditionalFormatting sqref="E1:E1048576">
    <cfRule type="cellIs" dxfId="479" priority="5" operator="equal">
      <formula>"FACTURADO"</formula>
    </cfRule>
    <cfRule type="cellIs" dxfId="478" priority="6" operator="equal">
      <formula>"NO FACTURADO"</formula>
    </cfRule>
  </conditionalFormatting>
  <conditionalFormatting sqref="F1:F1048576">
    <cfRule type="cellIs" dxfId="477" priority="1" operator="equal">
      <formula>"NATALIA"</formula>
    </cfRule>
    <cfRule type="cellIs" dxfId="476" priority="2" operator="equal">
      <formula>"DELIS"</formula>
    </cfRule>
    <cfRule type="cellIs" dxfId="475" priority="3" operator="equal">
      <formula>"CESAR"</formula>
    </cfRule>
    <cfRule type="cellIs" dxfId="474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73" priority="7" operator="equal">
      <formula>"PAGADO"</formula>
    </cfRule>
    <cfRule type="cellIs" dxfId="472" priority="8" operator="equal">
      <formula>"PENDIENTE"</formula>
    </cfRule>
    <cfRule type="cellIs" dxfId="471" priority="9" operator="equal">
      <formula>"""PENDIENTE"""</formula>
    </cfRule>
  </conditionalFormatting>
  <conditionalFormatting sqref="E1:E1048576">
    <cfRule type="cellIs" dxfId="470" priority="5" operator="equal">
      <formula>"FACTURADO"</formula>
    </cfRule>
    <cfRule type="cellIs" dxfId="469" priority="6" operator="equal">
      <formula>"NO FACTURADO"</formula>
    </cfRule>
  </conditionalFormatting>
  <conditionalFormatting sqref="F1:F1048576">
    <cfRule type="cellIs" dxfId="468" priority="1" operator="equal">
      <formula>"NATALIA"</formula>
    </cfRule>
    <cfRule type="cellIs" dxfId="467" priority="2" operator="equal">
      <formula>"DELIS"</formula>
    </cfRule>
    <cfRule type="cellIs" dxfId="466" priority="3" operator="equal">
      <formula>"CESAR"</formula>
    </cfRule>
    <cfRule type="cellIs" dxfId="46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C1" workbookViewId="0">
      <selection activeCell="R24" sqref="R24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64" priority="7" operator="equal">
      <formula>"PAGADO"</formula>
    </cfRule>
    <cfRule type="cellIs" dxfId="463" priority="8" operator="equal">
      <formula>"PENDIENTE"</formula>
    </cfRule>
    <cfRule type="cellIs" dxfId="462" priority="9" operator="equal">
      <formula>"""PENDIENTE"""</formula>
    </cfRule>
  </conditionalFormatting>
  <conditionalFormatting sqref="E1:E1048576">
    <cfRule type="cellIs" dxfId="461" priority="5" operator="equal">
      <formula>"FACTURADO"</formula>
    </cfRule>
    <cfRule type="cellIs" dxfId="460" priority="6" operator="equal">
      <formula>"NO FACTURADO"</formula>
    </cfRule>
  </conditionalFormatting>
  <conditionalFormatting sqref="F1:F1048576">
    <cfRule type="cellIs" dxfId="459" priority="1" operator="equal">
      <formula>"NATALIA"</formula>
    </cfRule>
    <cfRule type="cellIs" dxfId="458" priority="2" operator="equal">
      <formula>"DELIS"</formula>
    </cfRule>
    <cfRule type="cellIs" dxfId="457" priority="3" operator="equal">
      <formula>"CESAR"</formula>
    </cfRule>
    <cfRule type="cellIs" dxfId="45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3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3" x14ac:dyDescent="0.25">
      <c r="A2" s="2">
        <v>44572</v>
      </c>
      <c r="B2" t="s">
        <v>507</v>
      </c>
      <c r="C2" s="4">
        <v>14000</v>
      </c>
      <c r="D2" s="10" t="s">
        <v>157</v>
      </c>
      <c r="E2" t="s">
        <v>22</v>
      </c>
      <c r="F2" t="s">
        <v>25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38000</v>
      </c>
      <c r="K2" s="11" t="s">
        <v>121</v>
      </c>
    </row>
    <row r="3" spans="1:13" x14ac:dyDescent="0.25">
      <c r="A3" s="2">
        <v>44596</v>
      </c>
      <c r="B3" t="s">
        <v>525</v>
      </c>
      <c r="C3" s="4">
        <v>14000</v>
      </c>
      <c r="D3" t="s">
        <v>157</v>
      </c>
      <c r="E3" t="s">
        <v>218</v>
      </c>
      <c r="F3" t="s">
        <v>292</v>
      </c>
      <c r="I3" s="4">
        <f t="shared" si="0"/>
        <v>0</v>
      </c>
    </row>
    <row r="4" spans="1:13" x14ac:dyDescent="0.25">
      <c r="A4" s="2">
        <v>44601</v>
      </c>
      <c r="B4" t="s">
        <v>532</v>
      </c>
      <c r="C4" s="4">
        <v>40000</v>
      </c>
      <c r="D4" t="s">
        <v>26</v>
      </c>
      <c r="F4" t="s">
        <v>270</v>
      </c>
      <c r="I4" s="4">
        <f t="shared" si="0"/>
        <v>0</v>
      </c>
    </row>
    <row r="5" spans="1:13" x14ac:dyDescent="0.25">
      <c r="A5" s="2">
        <v>44606</v>
      </c>
      <c r="B5" t="s">
        <v>538</v>
      </c>
      <c r="C5" s="4">
        <v>77500</v>
      </c>
      <c r="D5" s="12" t="s">
        <v>157</v>
      </c>
      <c r="E5" s="12" t="s">
        <v>22</v>
      </c>
      <c r="F5" s="12" t="s">
        <v>292</v>
      </c>
      <c r="I5" s="4">
        <f t="shared" si="0"/>
        <v>0</v>
      </c>
    </row>
    <row r="6" spans="1:13" x14ac:dyDescent="0.25">
      <c r="A6" s="2">
        <v>44629</v>
      </c>
      <c r="B6" t="s">
        <v>556</v>
      </c>
      <c r="C6" s="4">
        <v>40000</v>
      </c>
      <c r="D6" s="12" t="s">
        <v>26</v>
      </c>
      <c r="E6" s="12" t="s">
        <v>22</v>
      </c>
      <c r="F6" s="12" t="s">
        <v>270</v>
      </c>
      <c r="I6" s="4">
        <f t="shared" si="0"/>
        <v>0</v>
      </c>
    </row>
    <row r="7" spans="1:13" x14ac:dyDescent="0.25">
      <c r="A7" s="2">
        <v>44677</v>
      </c>
      <c r="B7" t="s">
        <v>607</v>
      </c>
      <c r="C7" s="4">
        <v>30000</v>
      </c>
      <c r="D7" s="12" t="s">
        <v>26</v>
      </c>
      <c r="E7" s="12" t="s">
        <v>218</v>
      </c>
      <c r="F7" s="12" t="s">
        <v>292</v>
      </c>
      <c r="I7" s="4">
        <f t="shared" si="0"/>
        <v>0</v>
      </c>
    </row>
    <row r="8" spans="1:13" x14ac:dyDescent="0.25">
      <c r="A8" s="2">
        <v>44704</v>
      </c>
      <c r="B8" t="s">
        <v>624</v>
      </c>
      <c r="C8" s="4">
        <v>15000</v>
      </c>
      <c r="D8" s="12" t="s">
        <v>26</v>
      </c>
      <c r="F8" s="12" t="s">
        <v>25</v>
      </c>
      <c r="I8" s="4">
        <f t="shared" si="0"/>
        <v>0</v>
      </c>
    </row>
    <row r="9" spans="1:13" x14ac:dyDescent="0.25">
      <c r="C9" s="4">
        <v>3000</v>
      </c>
      <c r="D9" s="12" t="s">
        <v>26</v>
      </c>
      <c r="I9" s="4">
        <f t="shared" si="0"/>
        <v>0</v>
      </c>
    </row>
    <row r="10" spans="1:13" x14ac:dyDescent="0.25">
      <c r="A10" s="2">
        <v>44756</v>
      </c>
      <c r="B10" t="s">
        <v>666</v>
      </c>
      <c r="C10" s="4">
        <v>15000</v>
      </c>
      <c r="D10" s="12" t="s">
        <v>26</v>
      </c>
      <c r="F10" t="s">
        <v>292</v>
      </c>
      <c r="I10" s="4">
        <f t="shared" si="0"/>
        <v>0</v>
      </c>
    </row>
    <row r="11" spans="1:13" x14ac:dyDescent="0.25">
      <c r="A11" s="2">
        <v>44776</v>
      </c>
      <c r="B11" t="s">
        <v>681</v>
      </c>
      <c r="C11" s="4">
        <v>39000</v>
      </c>
      <c r="D11" s="12" t="s">
        <v>26</v>
      </c>
      <c r="F11" t="s">
        <v>292</v>
      </c>
      <c r="I11" s="4">
        <f t="shared" si="0"/>
        <v>0</v>
      </c>
    </row>
    <row r="12" spans="1:13" x14ac:dyDescent="0.25">
      <c r="A12" s="2">
        <v>44869</v>
      </c>
      <c r="B12" t="s">
        <v>784</v>
      </c>
      <c r="C12" s="4">
        <v>63000</v>
      </c>
      <c r="D12" s="12" t="s">
        <v>26</v>
      </c>
      <c r="F12" t="s">
        <v>292</v>
      </c>
      <c r="I12" s="4">
        <f t="shared" si="0"/>
        <v>0</v>
      </c>
    </row>
    <row r="13" spans="1:13" x14ac:dyDescent="0.25">
      <c r="A13" s="2">
        <v>44875</v>
      </c>
      <c r="B13" t="s">
        <v>849</v>
      </c>
      <c r="C13" s="4">
        <v>7000</v>
      </c>
      <c r="D13" s="12" t="s">
        <v>26</v>
      </c>
      <c r="F13" t="s">
        <v>292</v>
      </c>
      <c r="I13" s="4">
        <f t="shared" si="0"/>
        <v>0</v>
      </c>
      <c r="L13" t="s">
        <v>1029</v>
      </c>
      <c r="M13" s="2">
        <v>45117</v>
      </c>
    </row>
    <row r="14" spans="1:13" x14ac:dyDescent="0.25">
      <c r="A14" s="2">
        <v>44893</v>
      </c>
      <c r="B14" t="s">
        <v>805</v>
      </c>
      <c r="C14" s="4">
        <v>18000</v>
      </c>
      <c r="D14" s="12" t="s">
        <v>157</v>
      </c>
      <c r="F14" t="s">
        <v>292</v>
      </c>
      <c r="I14" s="4">
        <f t="shared" si="0"/>
        <v>0</v>
      </c>
    </row>
    <row r="15" spans="1:13" x14ac:dyDescent="0.25">
      <c r="A15" s="2">
        <v>44932</v>
      </c>
      <c r="B15" t="s">
        <v>850</v>
      </c>
      <c r="C15" s="4">
        <v>6000</v>
      </c>
      <c r="D15" s="12" t="s">
        <v>157</v>
      </c>
      <c r="F15" t="s">
        <v>25</v>
      </c>
      <c r="I15" s="4">
        <f t="shared" si="0"/>
        <v>0</v>
      </c>
    </row>
    <row r="16" spans="1:13" x14ac:dyDescent="0.25">
      <c r="A16" s="2">
        <v>44932</v>
      </c>
      <c r="B16" t="s">
        <v>853</v>
      </c>
      <c r="C16" s="4">
        <v>30000</v>
      </c>
      <c r="D16" s="12" t="s">
        <v>157</v>
      </c>
      <c r="F16" t="s">
        <v>25</v>
      </c>
      <c r="I16" s="4">
        <f t="shared" si="0"/>
        <v>0</v>
      </c>
    </row>
    <row r="17" spans="1:9" x14ac:dyDescent="0.25">
      <c r="A17" s="2">
        <v>44938</v>
      </c>
      <c r="B17" t="s">
        <v>860</v>
      </c>
      <c r="C17" s="4">
        <v>38000</v>
      </c>
      <c r="D17" s="12" t="s">
        <v>7</v>
      </c>
      <c r="F17" t="s">
        <v>25</v>
      </c>
      <c r="I17" s="4">
        <f t="shared" si="0"/>
        <v>38000</v>
      </c>
    </row>
    <row r="18" spans="1:9" x14ac:dyDescent="0.25">
      <c r="I18" s="4">
        <f t="shared" si="0"/>
        <v>0</v>
      </c>
    </row>
    <row r="19" spans="1:9" x14ac:dyDescent="0.25">
      <c r="I19" s="4">
        <f t="shared" si="0"/>
        <v>0</v>
      </c>
    </row>
    <row r="20" spans="1:9" x14ac:dyDescent="0.25">
      <c r="I20" s="4">
        <f t="shared" si="0"/>
        <v>0</v>
      </c>
    </row>
    <row r="21" spans="1:9" x14ac:dyDescent="0.25">
      <c r="I21" s="4">
        <f t="shared" si="0"/>
        <v>0</v>
      </c>
    </row>
    <row r="22" spans="1:9" x14ac:dyDescent="0.25">
      <c r="I22" s="4">
        <f t="shared" si="0"/>
        <v>0</v>
      </c>
    </row>
    <row r="23" spans="1:9" x14ac:dyDescent="0.25">
      <c r="I23" s="4">
        <f t="shared" si="0"/>
        <v>0</v>
      </c>
    </row>
    <row r="24" spans="1:9" x14ac:dyDescent="0.25">
      <c r="I24" s="4">
        <f t="shared" si="0"/>
        <v>0</v>
      </c>
    </row>
    <row r="25" spans="1:9" x14ac:dyDescent="0.25">
      <c r="I25" s="4">
        <f t="shared" si="0"/>
        <v>0</v>
      </c>
    </row>
    <row r="26" spans="1:9" x14ac:dyDescent="0.25">
      <c r="I26" s="4">
        <f t="shared" si="0"/>
        <v>0</v>
      </c>
    </row>
    <row r="27" spans="1:9" x14ac:dyDescent="0.25">
      <c r="I27" s="4">
        <f t="shared" si="0"/>
        <v>0</v>
      </c>
    </row>
    <row r="28" spans="1:9" x14ac:dyDescent="0.25">
      <c r="I28" s="4">
        <f t="shared" si="0"/>
        <v>0</v>
      </c>
    </row>
    <row r="29" spans="1:9" x14ac:dyDescent="0.25">
      <c r="I29" s="4">
        <f t="shared" si="0"/>
        <v>0</v>
      </c>
    </row>
    <row r="30" spans="1:9" x14ac:dyDescent="0.25">
      <c r="I30" s="4">
        <f t="shared" si="0"/>
        <v>0</v>
      </c>
    </row>
    <row r="31" spans="1:9" x14ac:dyDescent="0.25">
      <c r="I31" s="4">
        <f t="shared" si="0"/>
        <v>0</v>
      </c>
    </row>
    <row r="32" spans="1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55" priority="7" operator="equal">
      <formula>"PAGADO"</formula>
    </cfRule>
    <cfRule type="cellIs" dxfId="454" priority="8" operator="equal">
      <formula>"PENDIENTE"</formula>
    </cfRule>
    <cfRule type="cellIs" dxfId="453" priority="9" operator="equal">
      <formula>"""PENDIENTE"""</formula>
    </cfRule>
  </conditionalFormatting>
  <conditionalFormatting sqref="E1:E1048576">
    <cfRule type="cellIs" dxfId="452" priority="5" operator="equal">
      <formula>"FACTURADO"</formula>
    </cfRule>
    <cfRule type="cellIs" dxfId="451" priority="6" operator="equal">
      <formula>"NO FACTURADO"</formula>
    </cfRule>
  </conditionalFormatting>
  <conditionalFormatting sqref="F1:F1048576">
    <cfRule type="cellIs" dxfId="450" priority="1" operator="equal">
      <formula>"NATALIA"</formula>
    </cfRule>
    <cfRule type="cellIs" dxfId="449" priority="2" operator="equal">
      <formula>"DELIS"</formula>
    </cfRule>
    <cfRule type="cellIs" dxfId="448" priority="3" operator="equal">
      <formula>"CESAR"</formula>
    </cfRule>
    <cfRule type="cellIs" dxfId="44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44408</v>
      </c>
      <c r="C2" s="4">
        <v>14000</v>
      </c>
      <c r="D2" s="10" t="s">
        <v>157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28000</v>
      </c>
      <c r="K2" s="11" t="s">
        <v>121</v>
      </c>
    </row>
    <row r="3" spans="1:11" x14ac:dyDescent="0.25">
      <c r="A3" s="2">
        <v>44620</v>
      </c>
      <c r="B3" t="s">
        <v>552</v>
      </c>
      <c r="C3" s="4">
        <v>15000</v>
      </c>
      <c r="D3" t="s">
        <v>157</v>
      </c>
      <c r="I3" s="4">
        <f t="shared" si="0"/>
        <v>0</v>
      </c>
    </row>
    <row r="4" spans="1:11" x14ac:dyDescent="0.25">
      <c r="A4" s="2">
        <v>44830</v>
      </c>
      <c r="B4" t="s">
        <v>743</v>
      </c>
      <c r="C4" s="4">
        <v>9000</v>
      </c>
      <c r="D4" t="s">
        <v>157</v>
      </c>
      <c r="F4" t="s">
        <v>229</v>
      </c>
      <c r="I4" s="4">
        <f t="shared" si="0"/>
        <v>0</v>
      </c>
    </row>
    <row r="5" spans="1:11" x14ac:dyDescent="0.25">
      <c r="A5" s="2">
        <v>45042</v>
      </c>
      <c r="B5" t="s">
        <v>944</v>
      </c>
      <c r="C5" s="4">
        <v>30000</v>
      </c>
      <c r="D5" t="s">
        <v>157</v>
      </c>
      <c r="F5" t="s">
        <v>10</v>
      </c>
      <c r="I5" s="4">
        <f t="shared" si="0"/>
        <v>0</v>
      </c>
    </row>
    <row r="6" spans="1:11" x14ac:dyDescent="0.25">
      <c r="A6" s="2">
        <v>45086</v>
      </c>
      <c r="B6" t="s">
        <v>999</v>
      </c>
      <c r="C6" s="4">
        <v>40000</v>
      </c>
      <c r="D6" t="s">
        <v>157</v>
      </c>
      <c r="F6" t="s">
        <v>10</v>
      </c>
      <c r="I6" s="4">
        <f t="shared" si="0"/>
        <v>0</v>
      </c>
    </row>
    <row r="7" spans="1:11" x14ac:dyDescent="0.25">
      <c r="A7" s="2">
        <v>45267</v>
      </c>
      <c r="B7" t="s">
        <v>1189</v>
      </c>
      <c r="C7" s="4">
        <v>50000</v>
      </c>
      <c r="D7" t="s">
        <v>157</v>
      </c>
      <c r="F7" t="s">
        <v>25</v>
      </c>
      <c r="I7" s="4">
        <f t="shared" si="0"/>
        <v>0</v>
      </c>
    </row>
    <row r="8" spans="1:11" x14ac:dyDescent="0.25">
      <c r="A8" s="2">
        <v>45526</v>
      </c>
      <c r="B8" t="s">
        <v>944</v>
      </c>
      <c r="C8" s="4">
        <v>28000</v>
      </c>
      <c r="D8" t="s">
        <v>364</v>
      </c>
      <c r="F8" t="s">
        <v>229</v>
      </c>
      <c r="I8" s="4">
        <f t="shared" si="0"/>
        <v>28000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46" priority="7" operator="equal">
      <formula>"PAGADO"</formula>
    </cfRule>
    <cfRule type="cellIs" dxfId="445" priority="8" operator="equal">
      <formula>"PENDIENTE"</formula>
    </cfRule>
    <cfRule type="cellIs" dxfId="444" priority="9" operator="equal">
      <formula>"""PENDIENTE"""</formula>
    </cfRule>
  </conditionalFormatting>
  <conditionalFormatting sqref="E1:E1048576">
    <cfRule type="cellIs" dxfId="443" priority="5" operator="equal">
      <formula>"FACTURADO"</formula>
    </cfRule>
    <cfRule type="cellIs" dxfId="442" priority="6" operator="equal">
      <formula>"NO FACTURADO"</formula>
    </cfRule>
  </conditionalFormatting>
  <conditionalFormatting sqref="F1:F1048576">
    <cfRule type="cellIs" dxfId="441" priority="1" operator="equal">
      <formula>"NATALIA"</formula>
    </cfRule>
    <cfRule type="cellIs" dxfId="440" priority="2" operator="equal">
      <formula>"DELIS"</formula>
    </cfRule>
    <cfRule type="cellIs" dxfId="439" priority="3" operator="equal">
      <formula>"CESAR"</formula>
    </cfRule>
    <cfRule type="cellIs" dxfId="43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3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3" x14ac:dyDescent="0.25">
      <c r="A2" s="2">
        <v>44578</v>
      </c>
      <c r="B2" t="s">
        <v>505</v>
      </c>
      <c r="C2" s="4">
        <v>0</v>
      </c>
      <c r="D2" s="10" t="s">
        <v>7</v>
      </c>
      <c r="E2" t="s">
        <v>506</v>
      </c>
      <c r="F2" t="s">
        <v>10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v>0</v>
      </c>
      <c r="K2" s="11" t="s">
        <v>121</v>
      </c>
      <c r="L2" t="s">
        <v>558</v>
      </c>
      <c r="M2" s="2">
        <v>44634</v>
      </c>
    </row>
    <row r="3" spans="1:13" x14ac:dyDescent="0.25">
      <c r="A3" s="2">
        <v>44657</v>
      </c>
      <c r="B3" t="s">
        <v>590</v>
      </c>
      <c r="C3" s="4">
        <v>15000</v>
      </c>
      <c r="D3" t="s">
        <v>157</v>
      </c>
      <c r="E3" t="s">
        <v>506</v>
      </c>
      <c r="F3" t="s">
        <v>10</v>
      </c>
      <c r="I3" s="4">
        <f t="shared" si="0"/>
        <v>0</v>
      </c>
    </row>
    <row r="4" spans="1:13" x14ac:dyDescent="0.25">
      <c r="A4" s="2">
        <v>45033</v>
      </c>
      <c r="B4" t="s">
        <v>935</v>
      </c>
      <c r="C4" s="4">
        <v>6000</v>
      </c>
      <c r="D4" t="s">
        <v>157</v>
      </c>
      <c r="F4" t="s">
        <v>10</v>
      </c>
      <c r="I4" s="4">
        <f t="shared" si="0"/>
        <v>0</v>
      </c>
    </row>
    <row r="5" spans="1:13" x14ac:dyDescent="0.25">
      <c r="A5" s="2">
        <v>45090</v>
      </c>
      <c r="B5" t="s">
        <v>118</v>
      </c>
      <c r="C5" s="4">
        <v>25000</v>
      </c>
      <c r="D5" t="s">
        <v>157</v>
      </c>
      <c r="I5" s="4">
        <f t="shared" si="0"/>
        <v>0</v>
      </c>
    </row>
    <row r="6" spans="1:13" x14ac:dyDescent="0.25">
      <c r="A6" s="2">
        <v>45090</v>
      </c>
      <c r="B6" t="s">
        <v>947</v>
      </c>
      <c r="C6" s="4">
        <v>24000</v>
      </c>
      <c r="D6" t="s">
        <v>157</v>
      </c>
      <c r="I6" s="4">
        <f t="shared" si="0"/>
        <v>0</v>
      </c>
      <c r="L6" t="s">
        <v>1007</v>
      </c>
      <c r="M6" s="2">
        <v>45091</v>
      </c>
    </row>
    <row r="7" spans="1:13" x14ac:dyDescent="0.25">
      <c r="A7" s="2">
        <v>45090</v>
      </c>
      <c r="B7" t="s">
        <v>1003</v>
      </c>
      <c r="C7" s="4">
        <v>25000</v>
      </c>
      <c r="D7" t="s">
        <v>157</v>
      </c>
      <c r="I7" s="4">
        <f t="shared" si="0"/>
        <v>0</v>
      </c>
    </row>
    <row r="8" spans="1:13" x14ac:dyDescent="0.25">
      <c r="A8" s="2">
        <v>45090</v>
      </c>
      <c r="B8" t="s">
        <v>65</v>
      </c>
      <c r="C8" s="4">
        <v>4500</v>
      </c>
      <c r="D8" t="s">
        <v>157</v>
      </c>
      <c r="I8" s="4">
        <f t="shared" si="0"/>
        <v>0</v>
      </c>
    </row>
    <row r="9" spans="1:13" x14ac:dyDescent="0.25">
      <c r="A9" s="2">
        <v>45090</v>
      </c>
      <c r="B9" t="s">
        <v>1004</v>
      </c>
      <c r="C9" s="4">
        <v>5000</v>
      </c>
      <c r="D9" t="s">
        <v>157</v>
      </c>
      <c r="I9" s="4">
        <f t="shared" si="0"/>
        <v>0</v>
      </c>
    </row>
    <row r="10" spans="1:13" x14ac:dyDescent="0.25">
      <c r="A10" s="2">
        <v>45252</v>
      </c>
      <c r="B10" t="s">
        <v>1167</v>
      </c>
      <c r="C10" s="4">
        <v>35000</v>
      </c>
      <c r="D10" t="s">
        <v>157</v>
      </c>
      <c r="I10" s="4">
        <f t="shared" si="0"/>
        <v>0</v>
      </c>
    </row>
    <row r="11" spans="1:13" x14ac:dyDescent="0.25">
      <c r="I11" s="4">
        <f t="shared" si="0"/>
        <v>0</v>
      </c>
    </row>
    <row r="12" spans="1:13" x14ac:dyDescent="0.25">
      <c r="I12" s="4">
        <f t="shared" si="0"/>
        <v>0</v>
      </c>
    </row>
    <row r="13" spans="1:13" x14ac:dyDescent="0.25">
      <c r="I13" s="4">
        <f t="shared" si="0"/>
        <v>0</v>
      </c>
    </row>
    <row r="14" spans="1:13" x14ac:dyDescent="0.25">
      <c r="I14" s="4">
        <f t="shared" si="0"/>
        <v>0</v>
      </c>
    </row>
    <row r="15" spans="1:13" x14ac:dyDescent="0.25">
      <c r="I15" s="4">
        <f t="shared" si="0"/>
        <v>0</v>
      </c>
    </row>
    <row r="16" spans="1:13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37" priority="7" operator="equal">
      <formula>"PAGADO"</formula>
    </cfRule>
    <cfRule type="cellIs" dxfId="436" priority="8" operator="equal">
      <formula>"PENDIENTE"</formula>
    </cfRule>
    <cfRule type="cellIs" dxfId="435" priority="9" operator="equal">
      <formula>"""PENDIENTE"""</formula>
    </cfRule>
  </conditionalFormatting>
  <conditionalFormatting sqref="E1:E1048576">
    <cfRule type="cellIs" dxfId="434" priority="5" operator="equal">
      <formula>"FACTURADO"</formula>
    </cfRule>
    <cfRule type="cellIs" dxfId="433" priority="6" operator="equal">
      <formula>"NO FACTURADO"</formula>
    </cfRule>
  </conditionalFormatting>
  <conditionalFormatting sqref="F1:F1048576">
    <cfRule type="cellIs" dxfId="432" priority="1" operator="equal">
      <formula>"NATALIA"</formula>
    </cfRule>
    <cfRule type="cellIs" dxfId="431" priority="2" operator="equal">
      <formula>"DELIS"</formula>
    </cfRule>
    <cfRule type="cellIs" dxfId="430" priority="3" operator="equal">
      <formula>"CESAR"</formula>
    </cfRule>
    <cfRule type="cellIs" dxfId="429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1" max="11" width="51.5703125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2" ht="16.5" customHeight="1" x14ac:dyDescent="0.25">
      <c r="A2" s="2">
        <v>44558</v>
      </c>
      <c r="B2" t="s">
        <v>469</v>
      </c>
      <c r="C2" s="4">
        <v>43000</v>
      </c>
      <c r="D2" s="10" t="s">
        <v>26</v>
      </c>
      <c r="H2" t="str">
        <f>IF(E:E="NO FACTURADO","PENDIENTE","AL DIA")</f>
        <v>AL DIA</v>
      </c>
      <c r="I2" s="4">
        <f t="shared" ref="I2:I36" si="0">IF(D2="PENDIENTE",C2,0)</f>
        <v>0</v>
      </c>
      <c r="J2" s="4">
        <f>SUM(I:I)</f>
        <v>201500</v>
      </c>
      <c r="K2" s="11" t="s">
        <v>121</v>
      </c>
    </row>
    <row r="3" spans="1:12" x14ac:dyDescent="0.25">
      <c r="A3" s="2">
        <v>44558</v>
      </c>
      <c r="B3" t="s">
        <v>482</v>
      </c>
      <c r="C3" s="4">
        <v>20900</v>
      </c>
      <c r="D3" s="10" t="s">
        <v>26</v>
      </c>
      <c r="I3" s="4">
        <f t="shared" si="0"/>
        <v>0</v>
      </c>
    </row>
    <row r="4" spans="1:12" x14ac:dyDescent="0.25">
      <c r="A4" s="2">
        <v>44558</v>
      </c>
      <c r="B4" t="s">
        <v>483</v>
      </c>
      <c r="C4" s="4">
        <v>115000</v>
      </c>
      <c r="D4" s="10" t="s">
        <v>26</v>
      </c>
      <c r="I4" s="4">
        <f t="shared" si="0"/>
        <v>0</v>
      </c>
    </row>
    <row r="5" spans="1:12" x14ac:dyDescent="0.25">
      <c r="A5" s="2">
        <v>44589</v>
      </c>
      <c r="B5" t="s">
        <v>520</v>
      </c>
      <c r="C5" s="4">
        <v>60000</v>
      </c>
      <c r="D5" s="10" t="s">
        <v>26</v>
      </c>
      <c r="E5" t="s">
        <v>22</v>
      </c>
      <c r="F5" t="s">
        <v>52</v>
      </c>
      <c r="I5" s="4">
        <f t="shared" si="0"/>
        <v>0</v>
      </c>
    </row>
    <row r="6" spans="1:12" x14ac:dyDescent="0.25">
      <c r="A6" s="2">
        <v>44656</v>
      </c>
      <c r="B6" t="s">
        <v>587</v>
      </c>
      <c r="C6" s="4">
        <v>30800</v>
      </c>
      <c r="D6" s="12" t="s">
        <v>26</v>
      </c>
      <c r="I6" s="4">
        <f t="shared" si="0"/>
        <v>0</v>
      </c>
    </row>
    <row r="7" spans="1:12" x14ac:dyDescent="0.25">
      <c r="A7" s="2">
        <v>44663</v>
      </c>
      <c r="B7" t="s">
        <v>594</v>
      </c>
      <c r="C7" s="4">
        <v>7800</v>
      </c>
      <c r="D7" s="12" t="s">
        <v>26</v>
      </c>
      <c r="I7" s="4">
        <f t="shared" si="0"/>
        <v>0</v>
      </c>
      <c r="L7" s="2"/>
    </row>
    <row r="8" spans="1:12" x14ac:dyDescent="0.25">
      <c r="A8" s="2">
        <v>44818</v>
      </c>
      <c r="B8" t="s">
        <v>733</v>
      </c>
      <c r="C8" s="4">
        <v>19000</v>
      </c>
      <c r="D8" s="12" t="s">
        <v>26</v>
      </c>
      <c r="F8" t="s">
        <v>270</v>
      </c>
      <c r="I8" s="4">
        <f t="shared" si="0"/>
        <v>0</v>
      </c>
      <c r="K8" t="s">
        <v>896</v>
      </c>
      <c r="L8" s="2"/>
    </row>
    <row r="9" spans="1:12" x14ac:dyDescent="0.25">
      <c r="A9" s="2">
        <v>44818</v>
      </c>
      <c r="B9" t="s">
        <v>734</v>
      </c>
      <c r="C9" s="4">
        <v>1000</v>
      </c>
      <c r="D9" s="12" t="s">
        <v>26</v>
      </c>
      <c r="F9" t="s">
        <v>270</v>
      </c>
      <c r="I9" s="4">
        <f t="shared" si="0"/>
        <v>0</v>
      </c>
    </row>
    <row r="10" spans="1:12" x14ac:dyDescent="0.25">
      <c r="A10" s="2">
        <v>44851</v>
      </c>
      <c r="B10" t="s">
        <v>760</v>
      </c>
      <c r="C10" s="4">
        <v>40000</v>
      </c>
      <c r="D10" s="12" t="s">
        <v>26</v>
      </c>
      <c r="F10" t="s">
        <v>229</v>
      </c>
      <c r="I10" s="4">
        <f t="shared" si="0"/>
        <v>0</v>
      </c>
      <c r="K10" t="s">
        <v>996</v>
      </c>
    </row>
    <row r="11" spans="1:12" x14ac:dyDescent="0.25">
      <c r="A11" s="2">
        <v>44872</v>
      </c>
      <c r="B11" t="s">
        <v>787</v>
      </c>
      <c r="C11" s="4">
        <v>50000</v>
      </c>
      <c r="D11" s="12" t="s">
        <v>157</v>
      </c>
      <c r="F11" t="s">
        <v>270</v>
      </c>
      <c r="I11" s="4">
        <f t="shared" si="0"/>
        <v>0</v>
      </c>
      <c r="K11" t="s">
        <v>897</v>
      </c>
    </row>
    <row r="12" spans="1:12" x14ac:dyDescent="0.25">
      <c r="A12" s="2">
        <v>45096</v>
      </c>
      <c r="B12" t="s">
        <v>1013</v>
      </c>
      <c r="C12" s="4">
        <v>7500</v>
      </c>
      <c r="D12" s="12" t="s">
        <v>157</v>
      </c>
      <c r="F12" t="s">
        <v>270</v>
      </c>
      <c r="I12" s="4">
        <f t="shared" si="0"/>
        <v>0</v>
      </c>
    </row>
    <row r="13" spans="1:12" x14ac:dyDescent="0.25">
      <c r="A13" s="2">
        <v>45237</v>
      </c>
      <c r="B13" t="s">
        <v>1158</v>
      </c>
      <c r="C13" s="4">
        <v>13000</v>
      </c>
      <c r="D13" s="12" t="s">
        <v>157</v>
      </c>
      <c r="F13" t="s">
        <v>270</v>
      </c>
      <c r="I13" s="4">
        <f t="shared" si="0"/>
        <v>0</v>
      </c>
      <c r="K13" t="s">
        <v>1204</v>
      </c>
    </row>
    <row r="14" spans="1:12" x14ac:dyDescent="0.25">
      <c r="A14" s="2">
        <v>45260</v>
      </c>
      <c r="B14" t="s">
        <v>1184</v>
      </c>
      <c r="C14" s="4">
        <v>25000</v>
      </c>
      <c r="D14" s="12" t="s">
        <v>26</v>
      </c>
      <c r="F14" t="s">
        <v>270</v>
      </c>
      <c r="I14" s="4">
        <f t="shared" si="0"/>
        <v>0</v>
      </c>
    </row>
    <row r="15" spans="1:12" x14ac:dyDescent="0.25">
      <c r="A15" s="2">
        <v>45261</v>
      </c>
      <c r="B15" t="s">
        <v>1183</v>
      </c>
      <c r="C15" s="4">
        <v>70000</v>
      </c>
      <c r="D15" s="12" t="s">
        <v>364</v>
      </c>
      <c r="E15" t="s">
        <v>1380</v>
      </c>
      <c r="I15" s="4">
        <f t="shared" si="0"/>
        <v>70000</v>
      </c>
    </row>
    <row r="16" spans="1:12" x14ac:dyDescent="0.25">
      <c r="A16" s="2">
        <v>44934</v>
      </c>
      <c r="B16" t="s">
        <v>1213</v>
      </c>
      <c r="C16" s="4">
        <v>50000</v>
      </c>
      <c r="D16" s="12" t="s">
        <v>364</v>
      </c>
      <c r="E16" t="s">
        <v>1313</v>
      </c>
      <c r="I16" s="4">
        <f t="shared" si="0"/>
        <v>50000</v>
      </c>
      <c r="K16" s="21" t="s">
        <v>1312</v>
      </c>
    </row>
    <row r="17" spans="1:11" x14ac:dyDescent="0.25">
      <c r="A17" s="2">
        <v>44934</v>
      </c>
      <c r="B17" t="s">
        <v>1214</v>
      </c>
      <c r="C17" s="4">
        <v>4500</v>
      </c>
      <c r="D17" s="12" t="s">
        <v>364</v>
      </c>
      <c r="I17" s="4">
        <f t="shared" si="0"/>
        <v>4500</v>
      </c>
    </row>
    <row r="18" spans="1:11" x14ac:dyDescent="0.25">
      <c r="A18" s="2">
        <v>44934</v>
      </c>
      <c r="B18" t="s">
        <v>1215</v>
      </c>
      <c r="C18" s="4">
        <v>6000</v>
      </c>
      <c r="D18" s="12" t="s">
        <v>26</v>
      </c>
      <c r="E18" t="s">
        <v>1314</v>
      </c>
      <c r="I18" s="4">
        <f t="shared" si="0"/>
        <v>0</v>
      </c>
      <c r="K18" s="21" t="s">
        <v>1304</v>
      </c>
    </row>
    <row r="19" spans="1:11" x14ac:dyDescent="0.25">
      <c r="B19" t="s">
        <v>1295</v>
      </c>
      <c r="C19" s="4">
        <v>44000</v>
      </c>
      <c r="D19" s="12" t="s">
        <v>364</v>
      </c>
      <c r="I19" s="4">
        <f t="shared" si="0"/>
        <v>44000</v>
      </c>
      <c r="K19" t="s">
        <v>1379</v>
      </c>
    </row>
    <row r="20" spans="1:11" x14ac:dyDescent="0.25">
      <c r="A20" s="2">
        <v>45481</v>
      </c>
      <c r="B20" t="s">
        <v>1390</v>
      </c>
      <c r="C20" s="4">
        <v>33000</v>
      </c>
      <c r="D20" s="12" t="s">
        <v>364</v>
      </c>
      <c r="I20" s="4">
        <f t="shared" si="0"/>
        <v>33000</v>
      </c>
      <c r="K20" s="21" t="s">
        <v>1445</v>
      </c>
    </row>
    <row r="21" spans="1:11" x14ac:dyDescent="0.25">
      <c r="I21" s="4">
        <f t="shared" si="0"/>
        <v>0</v>
      </c>
    </row>
    <row r="22" spans="1:11" x14ac:dyDescent="0.25">
      <c r="I22" s="4">
        <f t="shared" si="0"/>
        <v>0</v>
      </c>
    </row>
    <row r="23" spans="1:11" x14ac:dyDescent="0.25">
      <c r="I23" s="4">
        <f t="shared" si="0"/>
        <v>0</v>
      </c>
    </row>
    <row r="24" spans="1:11" x14ac:dyDescent="0.25">
      <c r="I24" s="4">
        <f t="shared" si="0"/>
        <v>0</v>
      </c>
    </row>
    <row r="25" spans="1:11" x14ac:dyDescent="0.25">
      <c r="I25" s="4">
        <f t="shared" si="0"/>
        <v>0</v>
      </c>
    </row>
    <row r="26" spans="1:11" x14ac:dyDescent="0.25">
      <c r="I26" s="4">
        <f t="shared" si="0"/>
        <v>0</v>
      </c>
    </row>
    <row r="27" spans="1:11" x14ac:dyDescent="0.25">
      <c r="I27" s="4">
        <f t="shared" si="0"/>
        <v>0</v>
      </c>
    </row>
    <row r="28" spans="1:11" x14ac:dyDescent="0.25">
      <c r="I28" s="4">
        <f t="shared" si="0"/>
        <v>0</v>
      </c>
    </row>
    <row r="29" spans="1:11" x14ac:dyDescent="0.25">
      <c r="I29" s="4">
        <f t="shared" si="0"/>
        <v>0</v>
      </c>
    </row>
    <row r="30" spans="1:11" x14ac:dyDescent="0.25">
      <c r="I30" s="4">
        <f t="shared" si="0"/>
        <v>0</v>
      </c>
    </row>
    <row r="31" spans="1:11" x14ac:dyDescent="0.25">
      <c r="I31" s="4">
        <f t="shared" si="0"/>
        <v>0</v>
      </c>
    </row>
    <row r="32" spans="1:11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</sheetData>
  <conditionalFormatting sqref="D1:D1048576">
    <cfRule type="cellIs" dxfId="428" priority="7" operator="equal">
      <formula>"PAGADO"</formula>
    </cfRule>
    <cfRule type="cellIs" dxfId="427" priority="8" operator="equal">
      <formula>"PENDIENTE"</formula>
    </cfRule>
    <cfRule type="cellIs" dxfId="426" priority="9" operator="equal">
      <formula>"""PENDIENTE"""</formula>
    </cfRule>
  </conditionalFormatting>
  <conditionalFormatting sqref="E1:E1048576">
    <cfRule type="cellIs" dxfId="425" priority="5" operator="equal">
      <formula>"FACTURADO"</formula>
    </cfRule>
    <cfRule type="cellIs" dxfId="424" priority="6" operator="equal">
      <formula>"NO FACTURADO"</formula>
    </cfRule>
  </conditionalFormatting>
  <conditionalFormatting sqref="F1:F1048576">
    <cfRule type="cellIs" dxfId="423" priority="1" operator="equal">
      <formula>"NATALIA"</formula>
    </cfRule>
    <cfRule type="cellIs" dxfId="422" priority="2" operator="equal">
      <formula>"DELIS"</formula>
    </cfRule>
    <cfRule type="cellIs" dxfId="421" priority="3" operator="equal">
      <formula>"CESAR"</formula>
    </cfRule>
    <cfRule type="cellIs" dxfId="420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44617</v>
      </c>
      <c r="B2" t="s">
        <v>548</v>
      </c>
      <c r="C2" s="4">
        <v>20000</v>
      </c>
      <c r="D2" s="10" t="s">
        <v>364</v>
      </c>
      <c r="E2" t="s">
        <v>218</v>
      </c>
      <c r="F2" t="s">
        <v>292</v>
      </c>
      <c r="H2" t="str">
        <f>IF(E:E="NO FACTURADO","PENDIENTE","AL DIA")</f>
        <v>AL DIA</v>
      </c>
      <c r="I2" s="4">
        <f t="shared" ref="I2:I37" si="0">IF(D2="PENDIENTE",C2,0)</f>
        <v>20000</v>
      </c>
      <c r="J2" s="4">
        <f>SUM(I:I)</f>
        <v>126000</v>
      </c>
      <c r="K2" s="11" t="s">
        <v>121</v>
      </c>
    </row>
    <row r="3" spans="1:11" x14ac:dyDescent="0.25">
      <c r="B3" t="s">
        <v>577</v>
      </c>
      <c r="C3" s="4">
        <v>94000</v>
      </c>
      <c r="D3" t="s">
        <v>364</v>
      </c>
      <c r="F3" t="s">
        <v>25</v>
      </c>
      <c r="I3" s="4">
        <f t="shared" si="0"/>
        <v>94000</v>
      </c>
    </row>
    <row r="4" spans="1:11" x14ac:dyDescent="0.25">
      <c r="A4" s="2">
        <v>44641</v>
      </c>
      <c r="B4" t="s">
        <v>578</v>
      </c>
      <c r="C4" s="4">
        <v>12000</v>
      </c>
      <c r="D4" t="s">
        <v>364</v>
      </c>
      <c r="F4" t="s">
        <v>25</v>
      </c>
      <c r="I4" s="4">
        <f t="shared" si="0"/>
        <v>12000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19" priority="7" operator="equal">
      <formula>"PAGADO"</formula>
    </cfRule>
    <cfRule type="cellIs" dxfId="418" priority="8" operator="equal">
      <formula>"PENDIENTE"</formula>
    </cfRule>
    <cfRule type="cellIs" dxfId="417" priority="9" operator="equal">
      <formula>"""PENDIENTE"""</formula>
    </cfRule>
  </conditionalFormatting>
  <conditionalFormatting sqref="E1:E1048576">
    <cfRule type="cellIs" dxfId="416" priority="5" operator="equal">
      <formula>"FACTURADO"</formula>
    </cfRule>
    <cfRule type="cellIs" dxfId="415" priority="6" operator="equal">
      <formula>"NO FACTURADO"</formula>
    </cfRule>
  </conditionalFormatting>
  <conditionalFormatting sqref="F1:F1048576">
    <cfRule type="cellIs" dxfId="414" priority="1" operator="equal">
      <formula>"NATALIA"</formula>
    </cfRule>
    <cfRule type="cellIs" dxfId="413" priority="2" operator="equal">
      <formula>"DELIS"</formula>
    </cfRule>
    <cfRule type="cellIs" dxfId="412" priority="3" operator="equal">
      <formula>"CESAR"</formula>
    </cfRule>
    <cfRule type="cellIs" dxfId="41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10" priority="7" operator="equal">
      <formula>"PAGADO"</formula>
    </cfRule>
    <cfRule type="cellIs" dxfId="409" priority="8" operator="equal">
      <formula>"PENDIENTE"</formula>
    </cfRule>
    <cfRule type="cellIs" dxfId="408" priority="9" operator="equal">
      <formula>"""PENDIENTE"""</formula>
    </cfRule>
  </conditionalFormatting>
  <conditionalFormatting sqref="E1:E1048576">
    <cfRule type="cellIs" dxfId="407" priority="5" operator="equal">
      <formula>"FACTURADO"</formula>
    </cfRule>
    <cfRule type="cellIs" dxfId="406" priority="6" operator="equal">
      <formula>"NO FACTURADO"</formula>
    </cfRule>
  </conditionalFormatting>
  <conditionalFormatting sqref="F1:F1048576">
    <cfRule type="cellIs" dxfId="405" priority="1" operator="equal">
      <formula>"NATALIA"</formula>
    </cfRule>
    <cfRule type="cellIs" dxfId="404" priority="2" operator="equal">
      <formula>"DELIS"</formula>
    </cfRule>
    <cfRule type="cellIs" dxfId="403" priority="3" operator="equal">
      <formula>"CESAR"</formula>
    </cfRule>
    <cfRule type="cellIs" dxfId="402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44575</v>
      </c>
      <c r="B2" t="s">
        <v>497</v>
      </c>
      <c r="C2" s="4">
        <v>18500</v>
      </c>
      <c r="D2" s="10" t="s">
        <v>157</v>
      </c>
      <c r="F2" t="s">
        <v>10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3000</v>
      </c>
      <c r="K2" s="11" t="s">
        <v>121</v>
      </c>
    </row>
    <row r="3" spans="1:11" x14ac:dyDescent="0.25">
      <c r="A3" s="2">
        <v>44581</v>
      </c>
      <c r="B3" t="s">
        <v>509</v>
      </c>
      <c r="C3" s="4">
        <v>18000</v>
      </c>
      <c r="D3" t="s">
        <v>157</v>
      </c>
      <c r="F3" t="s">
        <v>10</v>
      </c>
      <c r="I3" s="4">
        <f t="shared" si="0"/>
        <v>0</v>
      </c>
    </row>
    <row r="4" spans="1:11" x14ac:dyDescent="0.25">
      <c r="A4" s="2">
        <v>44589</v>
      </c>
      <c r="B4" t="s">
        <v>521</v>
      </c>
      <c r="C4" s="4">
        <v>70000</v>
      </c>
      <c r="D4" t="s">
        <v>157</v>
      </c>
      <c r="F4" t="s">
        <v>25</v>
      </c>
      <c r="I4" s="4">
        <f t="shared" si="0"/>
        <v>0</v>
      </c>
    </row>
    <row r="5" spans="1:11" x14ac:dyDescent="0.25">
      <c r="A5" s="2">
        <v>44599</v>
      </c>
      <c r="B5" t="s">
        <v>526</v>
      </c>
      <c r="C5" s="4">
        <v>40000</v>
      </c>
      <c r="D5" s="12" t="s">
        <v>157</v>
      </c>
      <c r="F5" s="12" t="s">
        <v>10</v>
      </c>
      <c r="I5" s="4">
        <f t="shared" si="0"/>
        <v>0</v>
      </c>
    </row>
    <row r="6" spans="1:11" x14ac:dyDescent="0.25">
      <c r="A6" t="s">
        <v>533</v>
      </c>
      <c r="B6" t="s">
        <v>534</v>
      </c>
      <c r="C6" s="4">
        <v>130000</v>
      </c>
      <c r="D6" s="12" t="s">
        <v>157</v>
      </c>
      <c r="F6" s="12" t="s">
        <v>270</v>
      </c>
      <c r="I6" s="4">
        <f t="shared" si="0"/>
        <v>0</v>
      </c>
    </row>
    <row r="7" spans="1:11" x14ac:dyDescent="0.25">
      <c r="A7" s="2">
        <v>44861</v>
      </c>
      <c r="B7" t="s">
        <v>778</v>
      </c>
      <c r="C7" s="4">
        <v>3000</v>
      </c>
      <c r="D7" s="12" t="s">
        <v>364</v>
      </c>
      <c r="F7" s="12" t="s">
        <v>10</v>
      </c>
      <c r="I7" s="4">
        <f t="shared" si="0"/>
        <v>3000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401" priority="7" operator="equal">
      <formula>"PAGADO"</formula>
    </cfRule>
    <cfRule type="cellIs" dxfId="400" priority="8" operator="equal">
      <formula>"PENDIENTE"</formula>
    </cfRule>
    <cfRule type="cellIs" dxfId="399" priority="9" operator="equal">
      <formula>"""PENDIENTE"""</formula>
    </cfRule>
  </conditionalFormatting>
  <conditionalFormatting sqref="E1:E1048576">
    <cfRule type="cellIs" dxfId="398" priority="5" operator="equal">
      <formula>"FACTURADO"</formula>
    </cfRule>
    <cfRule type="cellIs" dxfId="397" priority="6" operator="equal">
      <formula>"NO FACTURADO"</formula>
    </cfRule>
  </conditionalFormatting>
  <conditionalFormatting sqref="F1:F1048576">
    <cfRule type="cellIs" dxfId="396" priority="1" operator="equal">
      <formula>"NATALIA"</formula>
    </cfRule>
    <cfRule type="cellIs" dxfId="395" priority="2" operator="equal">
      <formula>"DELIS"</formula>
    </cfRule>
    <cfRule type="cellIs" dxfId="394" priority="3" operator="equal">
      <formula>"CESAR"</formula>
    </cfRule>
    <cfRule type="cellIs" dxfId="393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44536</v>
      </c>
      <c r="B2" s="2" t="s">
        <v>444</v>
      </c>
      <c r="C2" s="4">
        <v>0</v>
      </c>
      <c r="D2" s="10" t="s">
        <v>603</v>
      </c>
      <c r="E2" t="s">
        <v>22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44676</v>
      </c>
      <c r="B3" t="s">
        <v>604</v>
      </c>
      <c r="C3" s="4">
        <v>61000</v>
      </c>
      <c r="I3" s="4">
        <f t="shared" si="0"/>
        <v>0</v>
      </c>
    </row>
    <row r="4" spans="1:11" x14ac:dyDescent="0.25">
      <c r="B4" t="s">
        <v>767</v>
      </c>
      <c r="C4" s="4">
        <v>41000</v>
      </c>
      <c r="I4" s="4">
        <f t="shared" si="0"/>
        <v>0</v>
      </c>
    </row>
    <row r="5" spans="1:11" x14ac:dyDescent="0.25">
      <c r="B5" t="s">
        <v>775</v>
      </c>
      <c r="C5" s="4">
        <v>23000</v>
      </c>
      <c r="E5" t="s">
        <v>218</v>
      </c>
      <c r="I5" s="4">
        <f t="shared" si="0"/>
        <v>0</v>
      </c>
      <c r="K5" s="2">
        <v>44859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392" priority="7" operator="equal">
      <formula>"PAGADO"</formula>
    </cfRule>
    <cfRule type="cellIs" dxfId="391" priority="8" operator="equal">
      <formula>"PENDIENTE"</formula>
    </cfRule>
    <cfRule type="cellIs" dxfId="390" priority="9" operator="equal">
      <formula>"""PENDIENTE"""</formula>
    </cfRule>
  </conditionalFormatting>
  <conditionalFormatting sqref="E1:E1048576">
    <cfRule type="cellIs" dxfId="389" priority="5" operator="equal">
      <formula>"FACTURADO"</formula>
    </cfRule>
    <cfRule type="cellIs" dxfId="388" priority="6" operator="equal">
      <formula>"NO FACTURADO"</formula>
    </cfRule>
  </conditionalFormatting>
  <conditionalFormatting sqref="F1:F1048576">
    <cfRule type="cellIs" dxfId="387" priority="1" operator="equal">
      <formula>"NATALIA"</formula>
    </cfRule>
    <cfRule type="cellIs" dxfId="386" priority="2" operator="equal">
      <formula>"DELIS"</formula>
    </cfRule>
    <cfRule type="cellIs" dxfId="385" priority="3" operator="equal">
      <formula>"CESAR"</formula>
    </cfRule>
    <cfRule type="cellIs" dxfId="384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2" max="12" width="40.5703125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2" x14ac:dyDescent="0.25">
      <c r="A2" s="2">
        <v>44572</v>
      </c>
      <c r="B2" t="s">
        <v>478</v>
      </c>
      <c r="C2" s="4">
        <v>17000</v>
      </c>
      <c r="D2" s="10" t="s">
        <v>157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2" x14ac:dyDescent="0.25">
      <c r="A3" s="2">
        <v>44614</v>
      </c>
      <c r="B3" t="s">
        <v>543</v>
      </c>
      <c r="C3" s="4">
        <v>32000</v>
      </c>
      <c r="D3" t="s">
        <v>157</v>
      </c>
      <c r="E3" t="s">
        <v>22</v>
      </c>
      <c r="F3" t="s">
        <v>25</v>
      </c>
      <c r="I3" s="4">
        <f t="shared" si="0"/>
        <v>0</v>
      </c>
    </row>
    <row r="4" spans="1:12" x14ac:dyDescent="0.25">
      <c r="A4" s="2">
        <v>44705</v>
      </c>
      <c r="B4" t="s">
        <v>627</v>
      </c>
      <c r="C4" s="4">
        <v>20000</v>
      </c>
      <c r="D4" t="s">
        <v>157</v>
      </c>
      <c r="F4" t="s">
        <v>229</v>
      </c>
      <c r="I4" s="4">
        <f t="shared" si="0"/>
        <v>0</v>
      </c>
    </row>
    <row r="5" spans="1:12" x14ac:dyDescent="0.25">
      <c r="A5" s="2">
        <v>44734</v>
      </c>
      <c r="B5" t="s">
        <v>646</v>
      </c>
      <c r="C5" s="4">
        <v>30000</v>
      </c>
      <c r="D5" s="12" t="s">
        <v>157</v>
      </c>
      <c r="F5" s="12" t="s">
        <v>270</v>
      </c>
      <c r="I5" s="4">
        <f t="shared" si="0"/>
        <v>0</v>
      </c>
    </row>
    <row r="6" spans="1:12" x14ac:dyDescent="0.25">
      <c r="A6" s="2">
        <v>44805</v>
      </c>
      <c r="B6" t="s">
        <v>719</v>
      </c>
      <c r="C6" s="4">
        <v>25000</v>
      </c>
      <c r="D6" s="12" t="s">
        <v>157</v>
      </c>
      <c r="F6" s="12" t="s">
        <v>25</v>
      </c>
      <c r="I6" s="4">
        <f t="shared" si="0"/>
        <v>0</v>
      </c>
    </row>
    <row r="7" spans="1:12" x14ac:dyDescent="0.25">
      <c r="A7" s="2">
        <v>44900</v>
      </c>
      <c r="B7" t="s">
        <v>812</v>
      </c>
      <c r="C7" s="4">
        <v>14000</v>
      </c>
      <c r="D7" s="12" t="s">
        <v>157</v>
      </c>
      <c r="I7" s="4">
        <f t="shared" si="0"/>
        <v>0</v>
      </c>
    </row>
    <row r="8" spans="1:12" x14ac:dyDescent="0.25">
      <c r="A8" s="2">
        <v>44914</v>
      </c>
      <c r="B8" t="s">
        <v>830</v>
      </c>
      <c r="C8" s="4">
        <v>25000</v>
      </c>
      <c r="D8" s="12" t="s">
        <v>157</v>
      </c>
      <c r="F8" t="s">
        <v>270</v>
      </c>
      <c r="I8" s="4">
        <f t="shared" si="0"/>
        <v>0</v>
      </c>
    </row>
    <row r="9" spans="1:12" x14ac:dyDescent="0.25">
      <c r="A9" s="2">
        <v>44914</v>
      </c>
      <c r="B9" t="s">
        <v>831</v>
      </c>
      <c r="C9" s="4">
        <v>1500</v>
      </c>
      <c r="D9" s="12" t="s">
        <v>157</v>
      </c>
      <c r="I9" s="4">
        <f t="shared" si="0"/>
        <v>0</v>
      </c>
    </row>
    <row r="10" spans="1:12" x14ac:dyDescent="0.25">
      <c r="A10" s="2">
        <v>45048</v>
      </c>
      <c r="B10" t="s">
        <v>947</v>
      </c>
      <c r="C10" s="4">
        <v>28000</v>
      </c>
      <c r="D10" s="12" t="s">
        <v>157</v>
      </c>
      <c r="F10" t="s">
        <v>25</v>
      </c>
      <c r="I10" s="4">
        <f t="shared" si="0"/>
        <v>0</v>
      </c>
    </row>
    <row r="11" spans="1:12" x14ac:dyDescent="0.25">
      <c r="A11" s="2">
        <v>45168</v>
      </c>
      <c r="B11" t="s">
        <v>1075</v>
      </c>
      <c r="C11" s="4">
        <v>40000</v>
      </c>
      <c r="D11" s="12" t="s">
        <v>157</v>
      </c>
      <c r="I11" s="4">
        <f t="shared" si="0"/>
        <v>0</v>
      </c>
    </row>
    <row r="12" spans="1:12" x14ac:dyDescent="0.25">
      <c r="A12" s="2">
        <v>45253</v>
      </c>
      <c r="B12" t="s">
        <v>1171</v>
      </c>
      <c r="C12" s="4">
        <v>55000</v>
      </c>
      <c r="D12" s="12" t="s">
        <v>157</v>
      </c>
      <c r="F12" t="s">
        <v>270</v>
      </c>
      <c r="I12" s="4">
        <f t="shared" si="0"/>
        <v>0</v>
      </c>
      <c r="L12" t="s">
        <v>1200</v>
      </c>
    </row>
    <row r="13" spans="1:12" x14ac:dyDescent="0.25">
      <c r="A13" s="2">
        <v>45352</v>
      </c>
      <c r="B13" t="s">
        <v>1275</v>
      </c>
      <c r="C13" s="4">
        <v>10000</v>
      </c>
      <c r="D13" s="12" t="s">
        <v>157</v>
      </c>
      <c r="I13" s="4">
        <f t="shared" si="0"/>
        <v>0</v>
      </c>
    </row>
    <row r="14" spans="1:12" x14ac:dyDescent="0.25">
      <c r="I14" s="4">
        <f t="shared" si="0"/>
        <v>0</v>
      </c>
    </row>
    <row r="15" spans="1:12" x14ac:dyDescent="0.25">
      <c r="I15" s="4">
        <f t="shared" si="0"/>
        <v>0</v>
      </c>
    </row>
    <row r="16" spans="1:12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383" priority="7" operator="equal">
      <formula>"PAGADO"</formula>
    </cfRule>
    <cfRule type="cellIs" dxfId="382" priority="8" operator="equal">
      <formula>"PENDIENTE"</formula>
    </cfRule>
    <cfRule type="cellIs" dxfId="381" priority="9" operator="equal">
      <formula>"""PENDIENTE"""</formula>
    </cfRule>
  </conditionalFormatting>
  <conditionalFormatting sqref="E1:E1048576">
    <cfRule type="cellIs" dxfId="380" priority="5" operator="equal">
      <formula>"FACTURADO"</formula>
    </cfRule>
    <cfRule type="cellIs" dxfId="379" priority="6" operator="equal">
      <formula>"NO FACTURADO"</formula>
    </cfRule>
  </conditionalFormatting>
  <conditionalFormatting sqref="F1:F1048576">
    <cfRule type="cellIs" dxfId="378" priority="1" operator="equal">
      <formula>"NATALIA"</formula>
    </cfRule>
    <cfRule type="cellIs" dxfId="377" priority="2" operator="equal">
      <formula>"DELIS"</formula>
    </cfRule>
    <cfRule type="cellIs" dxfId="376" priority="3" operator="equal">
      <formula>"CESAR"</formula>
    </cfRule>
    <cfRule type="cellIs" dxfId="37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2" max="12" width="34.5703125" customWidth="1"/>
  </cols>
  <sheetData>
    <row r="1" spans="1:13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3" x14ac:dyDescent="0.25">
      <c r="A2" s="2">
        <v>44552</v>
      </c>
      <c r="B2" t="s">
        <v>463</v>
      </c>
      <c r="C2" s="4">
        <v>0</v>
      </c>
      <c r="D2" s="10" t="s">
        <v>7</v>
      </c>
      <c r="E2" t="s">
        <v>22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189000</v>
      </c>
      <c r="K2" s="11" t="s">
        <v>121</v>
      </c>
    </row>
    <row r="3" spans="1:13" x14ac:dyDescent="0.25">
      <c r="A3" s="2">
        <v>44860</v>
      </c>
      <c r="B3" t="s">
        <v>777</v>
      </c>
      <c r="C3" s="4">
        <v>81000</v>
      </c>
      <c r="D3" s="10" t="s">
        <v>26</v>
      </c>
      <c r="I3" s="4">
        <f t="shared" si="0"/>
        <v>0</v>
      </c>
    </row>
    <row r="4" spans="1:13" x14ac:dyDescent="0.25">
      <c r="A4" s="2">
        <v>44908</v>
      </c>
      <c r="B4" t="s">
        <v>820</v>
      </c>
      <c r="C4" s="4">
        <v>50000</v>
      </c>
      <c r="D4" s="10" t="s">
        <v>26</v>
      </c>
      <c r="F4" t="s">
        <v>229</v>
      </c>
      <c r="I4" s="4">
        <f t="shared" si="0"/>
        <v>0</v>
      </c>
    </row>
    <row r="5" spans="1:13" x14ac:dyDescent="0.25">
      <c r="A5" s="2">
        <v>45027</v>
      </c>
      <c r="B5" t="s">
        <v>955</v>
      </c>
      <c r="C5" s="4">
        <v>170000</v>
      </c>
      <c r="D5" s="12" t="s">
        <v>7</v>
      </c>
      <c r="F5" t="s">
        <v>229</v>
      </c>
      <c r="I5" s="4">
        <f t="shared" si="0"/>
        <v>170000</v>
      </c>
      <c r="L5" t="s">
        <v>1006</v>
      </c>
    </row>
    <row r="6" spans="1:13" x14ac:dyDescent="0.25">
      <c r="A6" s="2">
        <v>45051</v>
      </c>
      <c r="B6" t="s">
        <v>958</v>
      </c>
      <c r="C6" s="4">
        <v>19000</v>
      </c>
      <c r="D6" s="12" t="s">
        <v>7</v>
      </c>
      <c r="F6" t="s">
        <v>229</v>
      </c>
      <c r="I6" s="4">
        <f t="shared" si="0"/>
        <v>19000</v>
      </c>
      <c r="L6" t="s">
        <v>1109</v>
      </c>
      <c r="M6" s="2">
        <v>45202</v>
      </c>
    </row>
    <row r="7" spans="1:13" x14ac:dyDescent="0.25">
      <c r="I7" s="4">
        <f t="shared" si="0"/>
        <v>0</v>
      </c>
    </row>
    <row r="8" spans="1:13" x14ac:dyDescent="0.25">
      <c r="I8" s="4">
        <f t="shared" si="0"/>
        <v>0</v>
      </c>
    </row>
    <row r="9" spans="1:13" x14ac:dyDescent="0.25">
      <c r="I9" s="4">
        <f t="shared" si="0"/>
        <v>0</v>
      </c>
    </row>
    <row r="10" spans="1:13" x14ac:dyDescent="0.25">
      <c r="I10" s="4">
        <f t="shared" si="0"/>
        <v>0</v>
      </c>
    </row>
    <row r="11" spans="1:13" x14ac:dyDescent="0.25">
      <c r="I11" s="4">
        <f t="shared" si="0"/>
        <v>0</v>
      </c>
    </row>
    <row r="12" spans="1:13" x14ac:dyDescent="0.25">
      <c r="I12" s="4">
        <f t="shared" si="0"/>
        <v>0</v>
      </c>
    </row>
    <row r="13" spans="1:13" x14ac:dyDescent="0.25">
      <c r="I13" s="4">
        <f t="shared" si="0"/>
        <v>0</v>
      </c>
    </row>
    <row r="14" spans="1:13" x14ac:dyDescent="0.25">
      <c r="I14" s="4">
        <f t="shared" si="0"/>
        <v>0</v>
      </c>
    </row>
    <row r="15" spans="1:13" x14ac:dyDescent="0.25">
      <c r="I15" s="4">
        <f t="shared" si="0"/>
        <v>0</v>
      </c>
    </row>
    <row r="16" spans="1:13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374" priority="7" operator="equal">
      <formula>"PAGADO"</formula>
    </cfRule>
    <cfRule type="cellIs" dxfId="373" priority="8" operator="equal">
      <formula>"PENDIENTE"</formula>
    </cfRule>
    <cfRule type="cellIs" dxfId="372" priority="9" operator="equal">
      <formula>"""PENDIENTE"""</formula>
    </cfRule>
  </conditionalFormatting>
  <conditionalFormatting sqref="E1:E1048576">
    <cfRule type="cellIs" dxfId="371" priority="5" operator="equal">
      <formula>"FACTURADO"</formula>
    </cfRule>
    <cfRule type="cellIs" dxfId="370" priority="6" operator="equal">
      <formula>"NO FACTURADO"</formula>
    </cfRule>
  </conditionalFormatting>
  <conditionalFormatting sqref="F1:F1048576">
    <cfRule type="cellIs" dxfId="369" priority="1" operator="equal">
      <formula>"NATALIA"</formula>
    </cfRule>
    <cfRule type="cellIs" dxfId="368" priority="2" operator="equal">
      <formula>"DELIS"</formula>
    </cfRule>
    <cfRule type="cellIs" dxfId="367" priority="3" operator="equal">
      <formula>"CESAR"</formula>
    </cfRule>
    <cfRule type="cellIs" dxfId="36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474</v>
      </c>
      <c r="C2" s="4">
        <v>9000</v>
      </c>
      <c r="D2" s="10" t="s">
        <v>26</v>
      </c>
      <c r="E2" t="s">
        <v>22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45644</v>
      </c>
      <c r="B3" t="s">
        <v>1518</v>
      </c>
      <c r="C3" s="4">
        <v>28000</v>
      </c>
      <c r="D3" s="10" t="s">
        <v>26</v>
      </c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365" priority="7" operator="equal">
      <formula>"PAGADO"</formula>
    </cfRule>
    <cfRule type="cellIs" dxfId="364" priority="8" operator="equal">
      <formula>"PENDIENTE"</formula>
    </cfRule>
    <cfRule type="cellIs" dxfId="363" priority="9" operator="equal">
      <formula>"""PENDIENTE"""</formula>
    </cfRule>
  </conditionalFormatting>
  <conditionalFormatting sqref="E1:E1048576">
    <cfRule type="cellIs" dxfId="362" priority="5" operator="equal">
      <formula>"FACTURADO"</formula>
    </cfRule>
    <cfRule type="cellIs" dxfId="361" priority="6" operator="equal">
      <formula>"NO FACTURADO"</formula>
    </cfRule>
  </conditionalFormatting>
  <conditionalFormatting sqref="F1:F1048576">
    <cfRule type="cellIs" dxfId="360" priority="1" operator="equal">
      <formula>"NATALIA"</formula>
    </cfRule>
    <cfRule type="cellIs" dxfId="359" priority="2" operator="equal">
      <formula>"DELIS"</formula>
    </cfRule>
    <cfRule type="cellIs" dxfId="358" priority="3" operator="equal">
      <formula>"CESAR"</formula>
    </cfRule>
    <cfRule type="cellIs" dxfId="35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44558</v>
      </c>
      <c r="B2" t="s">
        <v>468</v>
      </c>
      <c r="C2" s="4">
        <v>10000</v>
      </c>
      <c r="D2" s="10" t="s">
        <v>7</v>
      </c>
      <c r="E2" t="s">
        <v>22</v>
      </c>
      <c r="H2" t="str">
        <f>IF(E:E="NO FACTURADO","PENDIENTE","AL DIA")</f>
        <v>AL DIA</v>
      </c>
      <c r="I2" s="4">
        <f t="shared" ref="I2:I37" si="0">IF(D2="PENDIENTE",C2,0)</f>
        <v>10000</v>
      </c>
      <c r="J2" s="4">
        <f>SUM(I:I)</f>
        <v>159000</v>
      </c>
      <c r="K2" s="11" t="s">
        <v>121</v>
      </c>
    </row>
    <row r="3" spans="1:11" x14ac:dyDescent="0.25">
      <c r="A3" s="2">
        <v>44571</v>
      </c>
      <c r="B3" t="s">
        <v>504</v>
      </c>
      <c r="C3" s="4">
        <v>120000</v>
      </c>
      <c r="D3" t="s">
        <v>7</v>
      </c>
      <c r="E3" t="s">
        <v>22</v>
      </c>
      <c r="I3" s="4">
        <f t="shared" si="0"/>
        <v>120000</v>
      </c>
    </row>
    <row r="4" spans="1:11" x14ac:dyDescent="0.25">
      <c r="A4" s="2">
        <v>44776</v>
      </c>
      <c r="B4" t="s">
        <v>504</v>
      </c>
      <c r="C4" s="4">
        <v>29000</v>
      </c>
      <c r="D4" t="s">
        <v>7</v>
      </c>
      <c r="I4" s="4">
        <f t="shared" si="0"/>
        <v>29000</v>
      </c>
    </row>
    <row r="5" spans="1:11" x14ac:dyDescent="0.25">
      <c r="B5" t="s">
        <v>921</v>
      </c>
      <c r="I5" s="4">
        <f t="shared" si="0"/>
        <v>0</v>
      </c>
    </row>
    <row r="6" spans="1:11" x14ac:dyDescent="0.25">
      <c r="B6" t="s">
        <v>1198</v>
      </c>
      <c r="I6" s="4">
        <f t="shared" si="0"/>
        <v>0</v>
      </c>
    </row>
    <row r="7" spans="1:11" x14ac:dyDescent="0.25">
      <c r="B7" t="s">
        <v>1311</v>
      </c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:D1048576">
    <cfRule type="cellIs" dxfId="356" priority="7" operator="equal">
      <formula>"PAGADO"</formula>
    </cfRule>
    <cfRule type="cellIs" dxfId="355" priority="8" operator="equal">
      <formula>"PENDIENTE"</formula>
    </cfRule>
    <cfRule type="cellIs" dxfId="354" priority="9" operator="equal">
      <formula>"""PENDIENTE"""</formula>
    </cfRule>
  </conditionalFormatting>
  <conditionalFormatting sqref="E1:E1048576">
    <cfRule type="cellIs" dxfId="353" priority="5" operator="equal">
      <formula>"FACTURADO"</formula>
    </cfRule>
    <cfRule type="cellIs" dxfId="352" priority="6" operator="equal">
      <formula>"NO FACTURADO"</formula>
    </cfRule>
  </conditionalFormatting>
  <conditionalFormatting sqref="F1:F1048576">
    <cfRule type="cellIs" dxfId="351" priority="1" operator="equal">
      <formula>"NATALIA"</formula>
    </cfRule>
    <cfRule type="cellIs" dxfId="350" priority="2" operator="equal">
      <formula>"DELIS"</formula>
    </cfRule>
    <cfRule type="cellIs" dxfId="349" priority="3" operator="equal">
      <formula>"CESAR"</formula>
    </cfRule>
    <cfRule type="cellIs" dxfId="34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E5" sqref="E5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44567</v>
      </c>
      <c r="B2" t="s">
        <v>477</v>
      </c>
      <c r="C2" s="4">
        <v>50000</v>
      </c>
      <c r="D2" s="10" t="s">
        <v>157</v>
      </c>
      <c r="E2" t="s">
        <v>495</v>
      </c>
      <c r="H2" t="str">
        <f>IF(E:E="NO FACTURADO","PENDIENTE","AL DIA")</f>
        <v>AL DIA</v>
      </c>
      <c r="I2" s="4">
        <f>IF(E8="PENDIENTE",C2,0)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44573</v>
      </c>
      <c r="B3" t="s">
        <v>494</v>
      </c>
      <c r="C3" s="4">
        <v>47000</v>
      </c>
      <c r="D3" s="10" t="s">
        <v>157</v>
      </c>
      <c r="E3" t="s">
        <v>495</v>
      </c>
      <c r="I3" s="4">
        <f t="shared" ref="I3:I37" si="0">IF(D3="PENDIENTE",C3,0)</f>
        <v>0</v>
      </c>
    </row>
    <row r="4" spans="1:11" x14ac:dyDescent="0.25">
      <c r="A4" s="2">
        <v>44623</v>
      </c>
      <c r="B4" t="s">
        <v>554</v>
      </c>
      <c r="C4" s="4">
        <v>85000</v>
      </c>
      <c r="D4" s="10" t="s">
        <v>157</v>
      </c>
      <c r="E4" t="s">
        <v>495</v>
      </c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E8" s="10"/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conditionalFormatting sqref="D1 D5:D1048576 E8">
    <cfRule type="cellIs" dxfId="347" priority="10" operator="equal">
      <formula>"PAGADO"</formula>
    </cfRule>
    <cfRule type="cellIs" dxfId="346" priority="11" operator="equal">
      <formula>"PENDIENTE"</formula>
    </cfRule>
    <cfRule type="cellIs" dxfId="345" priority="12" operator="equal">
      <formula>"""PENDIENTE"""</formula>
    </cfRule>
  </conditionalFormatting>
  <conditionalFormatting sqref="E1:E7 E9:E1048576">
    <cfRule type="cellIs" dxfId="344" priority="8" operator="equal">
      <formula>"FACTURADO"</formula>
    </cfRule>
    <cfRule type="cellIs" dxfId="343" priority="9" operator="equal">
      <formula>"NO FACTURADO"</formula>
    </cfRule>
  </conditionalFormatting>
  <conditionalFormatting sqref="F1:F1048576">
    <cfRule type="cellIs" dxfId="342" priority="4" operator="equal">
      <formula>"NATALIA"</formula>
    </cfRule>
    <cfRule type="cellIs" dxfId="341" priority="5" operator="equal">
      <formula>"DELIS"</formula>
    </cfRule>
    <cfRule type="cellIs" dxfId="340" priority="6" operator="equal">
      <formula>"CESAR"</formula>
    </cfRule>
    <cfRule type="cellIs" dxfId="339" priority="7" operator="equal">
      <formula>"OMAR"</formula>
    </cfRule>
  </conditionalFormatting>
  <conditionalFormatting sqref="D2:D4">
    <cfRule type="cellIs" dxfId="338" priority="1" operator="equal">
      <formula>"PAGADO"</formula>
    </cfRule>
    <cfRule type="cellIs" dxfId="337" priority="2" operator="equal">
      <formula>"PENDIENTE"</formula>
    </cfRule>
    <cfRule type="cellIs" dxfId="336" priority="3" operator="equal">
      <formula>"""PENDIENTE"""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44301</v>
      </c>
      <c r="B2" t="s">
        <v>217</v>
      </c>
      <c r="C2" s="4">
        <v>58000</v>
      </c>
      <c r="D2" s="10" t="s">
        <v>157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44587</v>
      </c>
      <c r="B3" t="s">
        <v>516</v>
      </c>
      <c r="C3" s="4">
        <v>170000</v>
      </c>
      <c r="D3" t="s">
        <v>157</v>
      </c>
      <c r="E3" t="s">
        <v>458</v>
      </c>
      <c r="F3" t="s">
        <v>10</v>
      </c>
      <c r="I3" s="4">
        <f t="shared" si="0"/>
        <v>0</v>
      </c>
    </row>
    <row r="4" spans="1:11" x14ac:dyDescent="0.25">
      <c r="A4" s="2">
        <v>44592</v>
      </c>
      <c r="B4" t="s">
        <v>522</v>
      </c>
      <c r="C4" s="4">
        <v>27500</v>
      </c>
      <c r="D4" t="s">
        <v>157</v>
      </c>
      <c r="E4" t="s">
        <v>458</v>
      </c>
      <c r="F4" t="s">
        <v>10</v>
      </c>
      <c r="I4" s="4">
        <f t="shared" si="0"/>
        <v>0</v>
      </c>
    </row>
    <row r="5" spans="1:11" x14ac:dyDescent="0.25">
      <c r="A5" s="2">
        <v>44735</v>
      </c>
      <c r="B5" t="s">
        <v>648</v>
      </c>
      <c r="C5" s="4">
        <v>55000</v>
      </c>
      <c r="D5" s="12" t="s">
        <v>157</v>
      </c>
      <c r="F5" s="12" t="s">
        <v>10</v>
      </c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335" priority="7" operator="equal">
      <formula>"PAGADO"</formula>
    </cfRule>
    <cfRule type="cellIs" dxfId="334" priority="8" operator="equal">
      <formula>"PENDIENTE"</formula>
    </cfRule>
    <cfRule type="cellIs" dxfId="333" priority="9" operator="equal">
      <formula>"""PENDIENTE"""</formula>
    </cfRule>
  </conditionalFormatting>
  <conditionalFormatting sqref="E1:E1048576">
    <cfRule type="cellIs" dxfId="332" priority="5" operator="equal">
      <formula>"FACTURADO"</formula>
    </cfRule>
    <cfRule type="cellIs" dxfId="331" priority="6" operator="equal">
      <formula>"NO FACTURADO"</formula>
    </cfRule>
  </conditionalFormatting>
  <conditionalFormatting sqref="F1:F1048576">
    <cfRule type="cellIs" dxfId="330" priority="1" operator="equal">
      <formula>"NATALIA"</formula>
    </cfRule>
    <cfRule type="cellIs" dxfId="329" priority="2" operator="equal">
      <formula>"DELIS"</formula>
    </cfRule>
    <cfRule type="cellIs" dxfId="328" priority="3" operator="equal">
      <formula>"CESAR"</formula>
    </cfRule>
    <cfRule type="cellIs" dxfId="32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2" max="12" width="53.42578125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25" t="s">
        <v>121</v>
      </c>
    </row>
    <row r="3" spans="1:11" x14ac:dyDescent="0.25">
      <c r="I3" s="4">
        <f t="shared" si="0"/>
        <v>0</v>
      </c>
    </row>
    <row r="4" spans="1:11" x14ac:dyDescent="0.25">
      <c r="A4" s="2">
        <v>44280</v>
      </c>
      <c r="C4" s="4">
        <v>55000</v>
      </c>
      <c r="D4" t="s">
        <v>26</v>
      </c>
      <c r="F4" t="s">
        <v>25</v>
      </c>
      <c r="I4" s="4">
        <f t="shared" si="0"/>
        <v>0</v>
      </c>
    </row>
    <row r="5" spans="1:11" x14ac:dyDescent="0.25">
      <c r="A5" s="2">
        <v>44305</v>
      </c>
      <c r="B5" t="s">
        <v>226</v>
      </c>
      <c r="C5" s="4">
        <v>8000</v>
      </c>
      <c r="D5" t="s">
        <v>26</v>
      </c>
      <c r="F5" s="12" t="s">
        <v>10</v>
      </c>
      <c r="I5" s="4">
        <f t="shared" si="0"/>
        <v>0</v>
      </c>
    </row>
    <row r="6" spans="1:11" x14ac:dyDescent="0.25">
      <c r="B6" t="s">
        <v>259</v>
      </c>
      <c r="C6" s="4">
        <v>36000</v>
      </c>
      <c r="D6" t="s">
        <v>26</v>
      </c>
      <c r="F6" s="12" t="s">
        <v>25</v>
      </c>
      <c r="I6" s="4">
        <f t="shared" si="0"/>
        <v>0</v>
      </c>
    </row>
    <row r="7" spans="1:11" x14ac:dyDescent="0.25">
      <c r="B7" t="s">
        <v>272</v>
      </c>
      <c r="C7" s="4">
        <v>5000</v>
      </c>
      <c r="D7" t="s">
        <v>26</v>
      </c>
      <c r="F7" s="12" t="s">
        <v>25</v>
      </c>
      <c r="I7" s="4">
        <f t="shared" si="0"/>
        <v>0</v>
      </c>
    </row>
    <row r="8" spans="1:11" x14ac:dyDescent="0.25">
      <c r="B8" t="s">
        <v>289</v>
      </c>
      <c r="C8" s="4">
        <v>100000</v>
      </c>
      <c r="D8" t="s">
        <v>157</v>
      </c>
      <c r="F8" s="12" t="s">
        <v>25</v>
      </c>
      <c r="I8" s="4">
        <f t="shared" si="0"/>
        <v>0</v>
      </c>
    </row>
    <row r="9" spans="1:11" x14ac:dyDescent="0.25">
      <c r="B9" t="s">
        <v>314</v>
      </c>
      <c r="C9" s="4">
        <v>16000</v>
      </c>
      <c r="D9" t="s">
        <v>157</v>
      </c>
      <c r="F9" s="12" t="s">
        <v>25</v>
      </c>
      <c r="I9" s="4">
        <f t="shared" si="0"/>
        <v>0</v>
      </c>
    </row>
    <row r="10" spans="1:11" x14ac:dyDescent="0.25">
      <c r="B10" t="s">
        <v>315</v>
      </c>
      <c r="C10" s="4">
        <v>4500</v>
      </c>
      <c r="D10" t="s">
        <v>157</v>
      </c>
      <c r="F10" s="12" t="s">
        <v>25</v>
      </c>
      <c r="I10" s="4">
        <f t="shared" si="0"/>
        <v>0</v>
      </c>
    </row>
    <row r="11" spans="1:11" x14ac:dyDescent="0.25">
      <c r="B11" t="s">
        <v>316</v>
      </c>
      <c r="C11" s="4">
        <v>2000</v>
      </c>
      <c r="D11" t="s">
        <v>157</v>
      </c>
      <c r="F11" s="12" t="s">
        <v>25</v>
      </c>
      <c r="I11" s="4">
        <f t="shared" si="0"/>
        <v>0</v>
      </c>
    </row>
    <row r="12" spans="1:11" x14ac:dyDescent="0.25">
      <c r="B12" t="s">
        <v>418</v>
      </c>
      <c r="C12" s="4">
        <v>10000</v>
      </c>
      <c r="D12" t="s">
        <v>157</v>
      </c>
      <c r="F12" s="12" t="s">
        <v>25</v>
      </c>
      <c r="I12" s="4">
        <f t="shared" si="0"/>
        <v>0</v>
      </c>
    </row>
    <row r="13" spans="1:11" x14ac:dyDescent="0.25">
      <c r="B13" t="s">
        <v>430</v>
      </c>
      <c r="C13" s="4">
        <v>25000</v>
      </c>
      <c r="D13" t="s">
        <v>157</v>
      </c>
      <c r="F13" s="12" t="s">
        <v>10</v>
      </c>
      <c r="I13" s="4">
        <f t="shared" si="0"/>
        <v>0</v>
      </c>
    </row>
    <row r="14" spans="1:11" x14ac:dyDescent="0.25">
      <c r="A14" s="2">
        <v>44531</v>
      </c>
      <c r="B14" t="s">
        <v>113</v>
      </c>
      <c r="C14" s="4">
        <v>21000</v>
      </c>
      <c r="D14" t="s">
        <v>157</v>
      </c>
      <c r="E14" t="s">
        <v>22</v>
      </c>
      <c r="F14" s="12" t="s">
        <v>25</v>
      </c>
      <c r="I14" s="4">
        <f t="shared" si="0"/>
        <v>0</v>
      </c>
    </row>
    <row r="15" spans="1:11" x14ac:dyDescent="0.25">
      <c r="A15" s="2">
        <v>44678</v>
      </c>
      <c r="B15" t="s">
        <v>606</v>
      </c>
      <c r="C15" s="4">
        <v>30000</v>
      </c>
      <c r="D15" t="s">
        <v>26</v>
      </c>
      <c r="F15" s="12" t="s">
        <v>25</v>
      </c>
      <c r="I15" s="4">
        <f t="shared" si="0"/>
        <v>0</v>
      </c>
    </row>
    <row r="16" spans="1:11" x14ac:dyDescent="0.25">
      <c r="A16" s="2">
        <v>45006</v>
      </c>
      <c r="B16" t="s">
        <v>113</v>
      </c>
      <c r="C16" s="4">
        <v>30000</v>
      </c>
      <c r="D16" t="s">
        <v>26</v>
      </c>
      <c r="F16" s="12" t="s">
        <v>10</v>
      </c>
      <c r="I16" s="4">
        <f t="shared" si="0"/>
        <v>0</v>
      </c>
    </row>
    <row r="17" spans="1:12" x14ac:dyDescent="0.25">
      <c r="A17" s="2">
        <v>45147</v>
      </c>
      <c r="B17" t="s">
        <v>1067</v>
      </c>
      <c r="C17" s="4">
        <v>16000</v>
      </c>
      <c r="D17" t="s">
        <v>26</v>
      </c>
      <c r="F17" s="12" t="s">
        <v>10</v>
      </c>
      <c r="I17" s="4">
        <f t="shared" si="0"/>
        <v>0</v>
      </c>
      <c r="L17" t="s">
        <v>1070</v>
      </c>
    </row>
    <row r="18" spans="1:12" x14ac:dyDescent="0.25">
      <c r="B18" t="s">
        <v>113</v>
      </c>
      <c r="C18" s="4">
        <v>27000</v>
      </c>
      <c r="D18" t="s">
        <v>26</v>
      </c>
      <c r="F18" s="12" t="s">
        <v>10</v>
      </c>
      <c r="I18" s="4">
        <f t="shared" si="0"/>
        <v>0</v>
      </c>
    </row>
    <row r="19" spans="1:12" x14ac:dyDescent="0.25">
      <c r="A19" s="2">
        <v>45322</v>
      </c>
      <c r="B19" t="s">
        <v>1234</v>
      </c>
      <c r="C19" s="4">
        <v>20000</v>
      </c>
      <c r="D19" t="s">
        <v>26</v>
      </c>
      <c r="I19" s="4">
        <f t="shared" si="0"/>
        <v>0</v>
      </c>
    </row>
    <row r="20" spans="1:12" x14ac:dyDescent="0.25">
      <c r="A20" s="2">
        <v>45611</v>
      </c>
      <c r="B20" t="s">
        <v>1489</v>
      </c>
      <c r="C20" s="4">
        <v>23000</v>
      </c>
      <c r="D20" t="s">
        <v>26</v>
      </c>
      <c r="I20" s="4">
        <f t="shared" si="0"/>
        <v>0</v>
      </c>
    </row>
    <row r="21" spans="1:12" x14ac:dyDescent="0.25">
      <c r="I21" s="4">
        <f t="shared" si="0"/>
        <v>0</v>
      </c>
    </row>
    <row r="22" spans="1:12" x14ac:dyDescent="0.25">
      <c r="I22" s="4">
        <f t="shared" si="0"/>
        <v>0</v>
      </c>
    </row>
    <row r="23" spans="1:12" x14ac:dyDescent="0.25">
      <c r="I23" s="4">
        <f t="shared" si="0"/>
        <v>0</v>
      </c>
    </row>
    <row r="24" spans="1:12" x14ac:dyDescent="0.25">
      <c r="I24" s="4">
        <f t="shared" si="0"/>
        <v>0</v>
      </c>
    </row>
    <row r="25" spans="1:12" x14ac:dyDescent="0.25">
      <c r="I25" s="4">
        <f t="shared" si="0"/>
        <v>0</v>
      </c>
    </row>
    <row r="26" spans="1:12" x14ac:dyDescent="0.25">
      <c r="I26" s="4">
        <f t="shared" si="0"/>
        <v>0</v>
      </c>
    </row>
    <row r="27" spans="1:12" x14ac:dyDescent="0.25">
      <c r="I27" s="4">
        <f t="shared" si="0"/>
        <v>0</v>
      </c>
    </row>
    <row r="28" spans="1:12" x14ac:dyDescent="0.25">
      <c r="I28" s="4">
        <f t="shared" si="0"/>
        <v>0</v>
      </c>
    </row>
    <row r="29" spans="1:12" x14ac:dyDescent="0.25">
      <c r="I29" s="4">
        <f t="shared" si="0"/>
        <v>0</v>
      </c>
    </row>
    <row r="30" spans="1:12" x14ac:dyDescent="0.25">
      <c r="I30" s="4">
        <f t="shared" si="0"/>
        <v>0</v>
      </c>
    </row>
    <row r="31" spans="1:12" x14ac:dyDescent="0.25">
      <c r="I31" s="4">
        <f t="shared" si="0"/>
        <v>0</v>
      </c>
    </row>
    <row r="32" spans="1:12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326" priority="7" operator="equal">
      <formula>"PAGADO"</formula>
    </cfRule>
    <cfRule type="cellIs" dxfId="325" priority="8" operator="equal">
      <formula>"PENDIENTE"</formula>
    </cfRule>
    <cfRule type="cellIs" dxfId="324" priority="9" operator="equal">
      <formula>"""PENDIENTE"""</formula>
    </cfRule>
  </conditionalFormatting>
  <conditionalFormatting sqref="E1:E1048576">
    <cfRule type="cellIs" dxfId="323" priority="5" operator="equal">
      <formula>"FACTURADO"</formula>
    </cfRule>
    <cfRule type="cellIs" dxfId="322" priority="6" operator="equal">
      <formula>"NO FACTURADO"</formula>
    </cfRule>
  </conditionalFormatting>
  <conditionalFormatting sqref="F1:F1048576">
    <cfRule type="cellIs" dxfId="321" priority="1" operator="equal">
      <formula>"NATALIA"</formula>
    </cfRule>
    <cfRule type="cellIs" dxfId="320" priority="2" operator="equal">
      <formula>"DELIS"</formula>
    </cfRule>
    <cfRule type="cellIs" dxfId="319" priority="3" operator="equal">
      <formula>"CESAR"</formula>
    </cfRule>
    <cfRule type="cellIs" dxfId="31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44286</v>
      </c>
      <c r="B2" t="s">
        <v>203</v>
      </c>
      <c r="C2" s="4">
        <v>39000</v>
      </c>
      <c r="D2" s="10" t="s">
        <v>26</v>
      </c>
      <c r="E2" t="s">
        <v>22</v>
      </c>
      <c r="F2" t="s">
        <v>52</v>
      </c>
      <c r="H2" t="str">
        <f>IF(E:E="NO FACTURADO","PENDIENTE","AL DIA")</f>
        <v>AL DIA</v>
      </c>
      <c r="I2" s="4">
        <f>IF(D2="PENDIENTE",C2,0)</f>
        <v>0</v>
      </c>
      <c r="J2" s="4">
        <f>SUM(I:I)</f>
        <v>73000</v>
      </c>
      <c r="K2" s="11" t="s">
        <v>121</v>
      </c>
    </row>
    <row r="3" spans="1:11" x14ac:dyDescent="0.25">
      <c r="A3" s="2">
        <v>44326</v>
      </c>
      <c r="B3" t="s">
        <v>244</v>
      </c>
      <c r="C3" s="4">
        <v>73000</v>
      </c>
      <c r="D3" t="s">
        <v>7</v>
      </c>
      <c r="E3" t="s">
        <v>22</v>
      </c>
      <c r="F3" t="s">
        <v>10</v>
      </c>
      <c r="I3" s="4">
        <f>IF(D3="PENDIENTE",C3,0)</f>
        <v>73000</v>
      </c>
    </row>
    <row r="4" spans="1:11" x14ac:dyDescent="0.25">
      <c r="I4" s="4">
        <v>0</v>
      </c>
    </row>
    <row r="5" spans="1:11" x14ac:dyDescent="0.25">
      <c r="I5" s="4">
        <f t="shared" ref="I5:I37" si="0">IF(D4="PENDIENTE",C4,0)</f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6"/>
  <conditionalFormatting sqref="D1:D1048576">
    <cfRule type="cellIs" dxfId="317" priority="7" operator="equal">
      <formula>"PAGADO"</formula>
    </cfRule>
    <cfRule type="cellIs" dxfId="316" priority="8" operator="equal">
      <formula>"PENDIENTE"</formula>
    </cfRule>
    <cfRule type="cellIs" dxfId="315" priority="9" operator="equal">
      <formula>"""PENDIENTE"""</formula>
    </cfRule>
  </conditionalFormatting>
  <conditionalFormatting sqref="E1:E1048576">
    <cfRule type="cellIs" dxfId="314" priority="5" operator="equal">
      <formula>"FACTURADO"</formula>
    </cfRule>
    <cfRule type="cellIs" dxfId="313" priority="6" operator="equal">
      <formula>"NO FACTURADO"</formula>
    </cfRule>
  </conditionalFormatting>
  <conditionalFormatting sqref="F1:F1048576">
    <cfRule type="cellIs" dxfId="312" priority="1" operator="equal">
      <formula>"NATALIA"</formula>
    </cfRule>
    <cfRule type="cellIs" dxfId="311" priority="2" operator="equal">
      <formula>"DELIS"</formula>
    </cfRule>
    <cfRule type="cellIs" dxfId="310" priority="3" operator="equal">
      <formula>"CESAR"</formula>
    </cfRule>
    <cfRule type="cellIs" dxfId="309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56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44295</v>
      </c>
      <c r="B2" t="s">
        <v>257</v>
      </c>
      <c r="C2" s="4">
        <v>6000</v>
      </c>
      <c r="D2" s="10" t="s">
        <v>26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56" si="0">IF(D2="PENDIENTE",C2,0)</f>
        <v>0</v>
      </c>
      <c r="J2" s="4">
        <f>SUM(I:I)</f>
        <v>9500</v>
      </c>
      <c r="K2" s="24" t="s">
        <v>121</v>
      </c>
    </row>
    <row r="3" spans="1:11" x14ac:dyDescent="0.25">
      <c r="B3" t="s">
        <v>213</v>
      </c>
      <c r="C3" s="4">
        <v>4000</v>
      </c>
      <c r="D3" t="s">
        <v>26</v>
      </c>
      <c r="E3" t="s">
        <v>22</v>
      </c>
      <c r="F3" t="s">
        <v>10</v>
      </c>
      <c r="I3" s="4">
        <f t="shared" si="0"/>
        <v>0</v>
      </c>
    </row>
    <row r="4" spans="1:11" x14ac:dyDescent="0.25">
      <c r="A4" s="2">
        <v>44361</v>
      </c>
      <c r="B4" t="s">
        <v>287</v>
      </c>
      <c r="C4" s="4">
        <v>40000</v>
      </c>
      <c r="D4" t="s">
        <v>26</v>
      </c>
      <c r="E4" t="s">
        <v>22</v>
      </c>
      <c r="F4" t="s">
        <v>10</v>
      </c>
      <c r="I4" s="4">
        <f t="shared" si="0"/>
        <v>0</v>
      </c>
    </row>
    <row r="5" spans="1:11" x14ac:dyDescent="0.25">
      <c r="A5" s="2">
        <v>44418</v>
      </c>
      <c r="B5" t="s">
        <v>345</v>
      </c>
      <c r="C5" s="4">
        <v>3500</v>
      </c>
      <c r="D5" s="12" t="s">
        <v>26</v>
      </c>
      <c r="E5" s="12" t="s">
        <v>22</v>
      </c>
      <c r="F5" s="12" t="s">
        <v>10</v>
      </c>
      <c r="I5" s="4">
        <f t="shared" si="0"/>
        <v>0</v>
      </c>
    </row>
    <row r="6" spans="1:11" x14ac:dyDescent="0.25">
      <c r="A6" s="2">
        <v>44467</v>
      </c>
      <c r="B6" t="s">
        <v>384</v>
      </c>
      <c r="C6" s="4">
        <v>10000</v>
      </c>
      <c r="D6" s="12" t="s">
        <v>26</v>
      </c>
      <c r="E6" s="12" t="s">
        <v>22</v>
      </c>
      <c r="F6" s="12" t="s">
        <v>10</v>
      </c>
      <c r="I6" s="4">
        <f t="shared" si="0"/>
        <v>0</v>
      </c>
    </row>
    <row r="7" spans="1:11" x14ac:dyDescent="0.25">
      <c r="A7" s="2">
        <v>44578</v>
      </c>
      <c r="B7" t="s">
        <v>501</v>
      </c>
      <c r="C7" s="4">
        <v>18000</v>
      </c>
      <c r="D7" s="12" t="s">
        <v>26</v>
      </c>
      <c r="E7" s="12" t="s">
        <v>218</v>
      </c>
      <c r="F7" s="12" t="s">
        <v>270</v>
      </c>
      <c r="I7" s="4">
        <f t="shared" si="0"/>
        <v>0</v>
      </c>
    </row>
    <row r="8" spans="1:11" x14ac:dyDescent="0.25">
      <c r="A8" s="2">
        <v>44578</v>
      </c>
      <c r="B8" t="s">
        <v>502</v>
      </c>
      <c r="C8" s="4">
        <v>4500</v>
      </c>
      <c r="D8" s="12" t="s">
        <v>26</v>
      </c>
      <c r="E8" s="12" t="s">
        <v>218</v>
      </c>
      <c r="F8" s="12" t="s">
        <v>10</v>
      </c>
      <c r="I8" s="4">
        <f t="shared" si="0"/>
        <v>0</v>
      </c>
    </row>
    <row r="9" spans="1:11" x14ac:dyDescent="0.25">
      <c r="A9" s="2">
        <v>44636</v>
      </c>
      <c r="B9" t="s">
        <v>576</v>
      </c>
      <c r="C9" s="4">
        <v>14500</v>
      </c>
      <c r="D9" s="12" t="s">
        <v>26</v>
      </c>
      <c r="I9" s="4">
        <f t="shared" si="0"/>
        <v>0</v>
      </c>
    </row>
    <row r="10" spans="1:11" x14ac:dyDescent="0.25">
      <c r="A10" s="2">
        <v>44655</v>
      </c>
      <c r="B10" t="s">
        <v>584</v>
      </c>
      <c r="C10" s="4">
        <v>4500</v>
      </c>
      <c r="D10" s="12" t="s">
        <v>26</v>
      </c>
      <c r="I10" s="4">
        <f t="shared" si="0"/>
        <v>0</v>
      </c>
    </row>
    <row r="11" spans="1:11" x14ac:dyDescent="0.25">
      <c r="A11" s="2">
        <v>44727</v>
      </c>
      <c r="B11" t="s">
        <v>643</v>
      </c>
      <c r="C11" s="4">
        <v>6500</v>
      </c>
      <c r="D11" s="12" t="s">
        <v>26</v>
      </c>
      <c r="I11" s="4">
        <f t="shared" si="0"/>
        <v>0</v>
      </c>
    </row>
    <row r="12" spans="1:11" x14ac:dyDescent="0.25">
      <c r="B12" t="s">
        <v>209</v>
      </c>
      <c r="C12" s="4">
        <v>32000</v>
      </c>
      <c r="D12" s="12" t="s">
        <v>157</v>
      </c>
      <c r="F12" t="s">
        <v>270</v>
      </c>
      <c r="I12" s="4">
        <f t="shared" si="0"/>
        <v>0</v>
      </c>
    </row>
    <row r="13" spans="1:11" x14ac:dyDescent="0.25">
      <c r="A13" s="2">
        <v>44802</v>
      </c>
      <c r="B13" t="s">
        <v>714</v>
      </c>
      <c r="C13" s="4">
        <v>15000</v>
      </c>
      <c r="D13" s="12" t="s">
        <v>26</v>
      </c>
      <c r="F13" t="s">
        <v>229</v>
      </c>
      <c r="I13" s="4">
        <f t="shared" si="0"/>
        <v>0</v>
      </c>
    </row>
    <row r="14" spans="1:11" x14ac:dyDescent="0.25">
      <c r="A14" s="2">
        <v>44838</v>
      </c>
      <c r="B14" t="s">
        <v>176</v>
      </c>
      <c r="C14" s="4">
        <v>4500</v>
      </c>
      <c r="D14" s="12" t="s">
        <v>26</v>
      </c>
      <c r="I14" s="4">
        <f t="shared" si="0"/>
        <v>0</v>
      </c>
    </row>
    <row r="15" spans="1:11" x14ac:dyDescent="0.25">
      <c r="A15" s="2">
        <v>44931</v>
      </c>
      <c r="B15" t="s">
        <v>854</v>
      </c>
      <c r="C15" s="4">
        <v>4500</v>
      </c>
      <c r="D15" s="12" t="s">
        <v>26</v>
      </c>
      <c r="I15" s="4">
        <f t="shared" si="0"/>
        <v>0</v>
      </c>
    </row>
    <row r="16" spans="1:11" x14ac:dyDescent="0.25">
      <c r="A16" s="2">
        <v>44957</v>
      </c>
      <c r="B16" t="s">
        <v>876</v>
      </c>
      <c r="C16" s="4">
        <v>9000</v>
      </c>
      <c r="D16" s="12" t="s">
        <v>26</v>
      </c>
      <c r="F16" t="s">
        <v>270</v>
      </c>
      <c r="I16" s="4">
        <f t="shared" si="0"/>
        <v>0</v>
      </c>
    </row>
    <row r="17" spans="1:9" x14ac:dyDescent="0.25">
      <c r="A17" s="2">
        <v>45093</v>
      </c>
      <c r="B17" t="s">
        <v>1011</v>
      </c>
      <c r="C17" s="4">
        <v>9000</v>
      </c>
      <c r="D17" s="12" t="s">
        <v>26</v>
      </c>
      <c r="F17" t="s">
        <v>270</v>
      </c>
      <c r="I17" s="4">
        <f t="shared" si="0"/>
        <v>0</v>
      </c>
    </row>
    <row r="18" spans="1:9" x14ac:dyDescent="0.25">
      <c r="B18" t="s">
        <v>952</v>
      </c>
      <c r="C18" s="4">
        <v>58500</v>
      </c>
      <c r="D18" s="12" t="s">
        <v>26</v>
      </c>
      <c r="I18" s="4">
        <f t="shared" ref="I18" si="1">IF(D18="PENDIENTE",C18,0)</f>
        <v>0</v>
      </c>
    </row>
    <row r="19" spans="1:9" x14ac:dyDescent="0.25">
      <c r="A19" s="2">
        <v>45194</v>
      </c>
      <c r="B19" t="s">
        <v>714</v>
      </c>
      <c r="C19" s="4">
        <v>16500</v>
      </c>
      <c r="D19" s="12" t="s">
        <v>26</v>
      </c>
      <c r="I19" s="4">
        <f t="shared" si="0"/>
        <v>0</v>
      </c>
    </row>
    <row r="20" spans="1:9" x14ac:dyDescent="0.25">
      <c r="A20" s="2">
        <v>45202</v>
      </c>
      <c r="B20" t="s">
        <v>1113</v>
      </c>
      <c r="C20" s="4">
        <v>18000</v>
      </c>
      <c r="D20" s="12" t="s">
        <v>26</v>
      </c>
      <c r="I20" s="4">
        <f t="shared" si="0"/>
        <v>0</v>
      </c>
    </row>
    <row r="21" spans="1:9" x14ac:dyDescent="0.25">
      <c r="A21" s="2">
        <v>45210</v>
      </c>
      <c r="B21" t="s">
        <v>1119</v>
      </c>
      <c r="C21" s="4">
        <v>220000</v>
      </c>
      <c r="D21" s="12" t="s">
        <v>157</v>
      </c>
      <c r="I21" s="4">
        <f t="shared" si="0"/>
        <v>0</v>
      </c>
    </row>
    <row r="22" spans="1:9" x14ac:dyDescent="0.25">
      <c r="A22" s="2">
        <v>45212</v>
      </c>
      <c r="B22" t="s">
        <v>1162</v>
      </c>
      <c r="C22" s="4">
        <v>35000</v>
      </c>
      <c r="D22" s="12" t="s">
        <v>157</v>
      </c>
      <c r="I22" s="4">
        <f t="shared" si="0"/>
        <v>0</v>
      </c>
    </row>
    <row r="23" spans="1:9" x14ac:dyDescent="0.25">
      <c r="A23" s="2">
        <v>45265</v>
      </c>
      <c r="B23" t="s">
        <v>1188</v>
      </c>
      <c r="C23" s="4">
        <v>6000</v>
      </c>
      <c r="D23" s="12" t="s">
        <v>157</v>
      </c>
      <c r="I23" s="4">
        <f t="shared" si="0"/>
        <v>0</v>
      </c>
    </row>
    <row r="24" spans="1:9" x14ac:dyDescent="0.25">
      <c r="B24" t="s">
        <v>1222</v>
      </c>
      <c r="C24" s="4">
        <v>6000</v>
      </c>
      <c r="D24" s="12" t="s">
        <v>157</v>
      </c>
      <c r="I24" s="4">
        <f t="shared" si="0"/>
        <v>0</v>
      </c>
    </row>
    <row r="25" spans="1:9" x14ac:dyDescent="0.25">
      <c r="B25" t="s">
        <v>1244</v>
      </c>
      <c r="C25" s="4">
        <v>8000</v>
      </c>
      <c r="D25" s="12" t="s">
        <v>157</v>
      </c>
      <c r="I25" s="4">
        <f t="shared" si="0"/>
        <v>0</v>
      </c>
    </row>
    <row r="26" spans="1:9" x14ac:dyDescent="0.25">
      <c r="B26" t="s">
        <v>1245</v>
      </c>
      <c r="C26" s="4">
        <v>50000</v>
      </c>
      <c r="D26" s="12" t="s">
        <v>157</v>
      </c>
      <c r="I26" s="4">
        <f t="shared" si="0"/>
        <v>0</v>
      </c>
    </row>
    <row r="27" spans="1:9" x14ac:dyDescent="0.25">
      <c r="B27" t="s">
        <v>1248</v>
      </c>
      <c r="C27" s="4">
        <v>5500</v>
      </c>
      <c r="D27" s="12" t="s">
        <v>157</v>
      </c>
      <c r="I27" s="4">
        <f t="shared" si="0"/>
        <v>0</v>
      </c>
    </row>
    <row r="28" spans="1:9" x14ac:dyDescent="0.25">
      <c r="A28" s="2">
        <v>45358</v>
      </c>
      <c r="B28" t="s">
        <v>1278</v>
      </c>
      <c r="C28" s="4">
        <v>12000</v>
      </c>
      <c r="D28" s="12" t="s">
        <v>157</v>
      </c>
      <c r="I28" s="4">
        <f t="shared" si="0"/>
        <v>0</v>
      </c>
    </row>
    <row r="29" spans="1:9" x14ac:dyDescent="0.25">
      <c r="A29" s="2">
        <v>45359</v>
      </c>
      <c r="B29" t="s">
        <v>1281</v>
      </c>
      <c r="C29" s="4">
        <v>4500</v>
      </c>
      <c r="D29" s="12" t="s">
        <v>157</v>
      </c>
      <c r="I29" s="4">
        <f t="shared" si="0"/>
        <v>0</v>
      </c>
    </row>
    <row r="30" spans="1:9" x14ac:dyDescent="0.25">
      <c r="A30" s="2">
        <v>45387</v>
      </c>
      <c r="B30" t="s">
        <v>1298</v>
      </c>
      <c r="C30" s="4">
        <v>18000</v>
      </c>
      <c r="D30" s="12" t="s">
        <v>157</v>
      </c>
      <c r="I30" s="4">
        <f t="shared" si="0"/>
        <v>0</v>
      </c>
    </row>
    <row r="31" spans="1:9" x14ac:dyDescent="0.25">
      <c r="A31" s="2">
        <v>45387</v>
      </c>
      <c r="B31" t="s">
        <v>1300</v>
      </c>
      <c r="C31" s="4">
        <v>15000</v>
      </c>
      <c r="D31" s="12" t="s">
        <v>157</v>
      </c>
      <c r="I31" s="4">
        <f t="shared" si="0"/>
        <v>0</v>
      </c>
    </row>
    <row r="32" spans="1:9" x14ac:dyDescent="0.25">
      <c r="A32" s="2">
        <v>45392</v>
      </c>
      <c r="B32" t="s">
        <v>1307</v>
      </c>
      <c r="C32" s="4">
        <v>8000</v>
      </c>
      <c r="D32" s="12" t="s">
        <v>157</v>
      </c>
      <c r="I32" s="4">
        <f t="shared" si="0"/>
        <v>0</v>
      </c>
    </row>
    <row r="33" spans="1:9" x14ac:dyDescent="0.25">
      <c r="A33" s="2">
        <v>45397</v>
      </c>
      <c r="B33" t="s">
        <v>1309</v>
      </c>
      <c r="C33" s="4">
        <v>4500</v>
      </c>
      <c r="D33" s="12" t="s">
        <v>157</v>
      </c>
      <c r="I33" s="4">
        <f t="shared" si="0"/>
        <v>0</v>
      </c>
    </row>
    <row r="34" spans="1:9" x14ac:dyDescent="0.25">
      <c r="A34" s="2">
        <v>45428</v>
      </c>
      <c r="B34" t="s">
        <v>1334</v>
      </c>
      <c r="C34" s="4">
        <v>2000</v>
      </c>
      <c r="D34" s="12" t="s">
        <v>157</v>
      </c>
      <c r="I34" s="4">
        <f t="shared" si="0"/>
        <v>0</v>
      </c>
    </row>
    <row r="35" spans="1:9" x14ac:dyDescent="0.25">
      <c r="A35" s="2">
        <v>45439</v>
      </c>
      <c r="B35" t="s">
        <v>1339</v>
      </c>
      <c r="C35" s="4">
        <v>9000</v>
      </c>
      <c r="D35" s="12" t="s">
        <v>157</v>
      </c>
      <c r="I35" s="4">
        <f t="shared" si="0"/>
        <v>0</v>
      </c>
    </row>
    <row r="36" spans="1:9" x14ac:dyDescent="0.25">
      <c r="A36" s="2">
        <v>45447</v>
      </c>
      <c r="B36" t="s">
        <v>1356</v>
      </c>
      <c r="C36" s="4">
        <v>18000</v>
      </c>
      <c r="D36" s="12" t="s">
        <v>157</v>
      </c>
      <c r="E36" t="s">
        <v>1109</v>
      </c>
      <c r="I36" s="4">
        <f t="shared" si="0"/>
        <v>0</v>
      </c>
    </row>
    <row r="37" spans="1:9" x14ac:dyDescent="0.25">
      <c r="A37" s="2">
        <v>45534</v>
      </c>
      <c r="B37" t="s">
        <v>1425</v>
      </c>
      <c r="C37" s="4">
        <v>1000</v>
      </c>
      <c r="D37" s="12" t="s">
        <v>364</v>
      </c>
      <c r="I37" s="4">
        <f t="shared" si="0"/>
        <v>1000</v>
      </c>
    </row>
    <row r="38" spans="1:9" x14ac:dyDescent="0.25">
      <c r="A38" s="2">
        <v>45649</v>
      </c>
      <c r="B38" t="s">
        <v>502</v>
      </c>
      <c r="C38" s="4">
        <v>5000</v>
      </c>
      <c r="D38" s="12" t="s">
        <v>364</v>
      </c>
      <c r="I38" s="4">
        <f t="shared" si="0"/>
        <v>5000</v>
      </c>
    </row>
    <row r="39" spans="1:9" x14ac:dyDescent="0.25">
      <c r="A39" s="2">
        <v>45659</v>
      </c>
      <c r="C39" s="4">
        <v>3500</v>
      </c>
      <c r="D39" s="12" t="s">
        <v>364</v>
      </c>
      <c r="I39" s="4">
        <f t="shared" si="0"/>
        <v>3500</v>
      </c>
    </row>
    <row r="40" spans="1:9" x14ac:dyDescent="0.25">
      <c r="I40" s="4">
        <f t="shared" si="0"/>
        <v>0</v>
      </c>
    </row>
    <row r="41" spans="1:9" x14ac:dyDescent="0.25">
      <c r="I41" s="4">
        <f t="shared" si="0"/>
        <v>0</v>
      </c>
    </row>
    <row r="42" spans="1:9" x14ac:dyDescent="0.25">
      <c r="I42" s="4">
        <f t="shared" si="0"/>
        <v>0</v>
      </c>
    </row>
    <row r="43" spans="1:9" x14ac:dyDescent="0.25">
      <c r="I43" s="4">
        <f t="shared" si="0"/>
        <v>0</v>
      </c>
    </row>
    <row r="44" spans="1:9" x14ac:dyDescent="0.25">
      <c r="I44" s="4">
        <f t="shared" si="0"/>
        <v>0</v>
      </c>
    </row>
    <row r="45" spans="1:9" x14ac:dyDescent="0.25">
      <c r="I45" s="4">
        <f t="shared" si="0"/>
        <v>0</v>
      </c>
    </row>
    <row r="46" spans="1:9" x14ac:dyDescent="0.25">
      <c r="I46" s="4">
        <f t="shared" si="0"/>
        <v>0</v>
      </c>
    </row>
    <row r="47" spans="1:9" x14ac:dyDescent="0.25">
      <c r="I47" s="4">
        <f t="shared" si="0"/>
        <v>0</v>
      </c>
    </row>
    <row r="48" spans="1:9" x14ac:dyDescent="0.25">
      <c r="I48" s="4">
        <f t="shared" si="0"/>
        <v>0</v>
      </c>
    </row>
    <row r="49" spans="9:9" x14ac:dyDescent="0.25">
      <c r="I49" s="4">
        <f t="shared" si="0"/>
        <v>0</v>
      </c>
    </row>
    <row r="50" spans="9:9" x14ac:dyDescent="0.25">
      <c r="I50" s="4">
        <f t="shared" si="0"/>
        <v>0</v>
      </c>
    </row>
    <row r="51" spans="9:9" x14ac:dyDescent="0.25">
      <c r="I51" s="4">
        <f t="shared" si="0"/>
        <v>0</v>
      </c>
    </row>
    <row r="52" spans="9:9" x14ac:dyDescent="0.25">
      <c r="I52" s="4">
        <f t="shared" si="0"/>
        <v>0</v>
      </c>
    </row>
    <row r="53" spans="9:9" x14ac:dyDescent="0.25">
      <c r="I53" s="4">
        <f t="shared" si="0"/>
        <v>0</v>
      </c>
    </row>
    <row r="54" spans="9:9" x14ac:dyDescent="0.25">
      <c r="I54" s="4">
        <f t="shared" si="0"/>
        <v>0</v>
      </c>
    </row>
    <row r="55" spans="9:9" x14ac:dyDescent="0.25">
      <c r="I55" s="4">
        <f t="shared" si="0"/>
        <v>0</v>
      </c>
    </row>
    <row r="56" spans="9:9" x14ac:dyDescent="0.25">
      <c r="I56" s="4">
        <f t="shared" si="0"/>
        <v>0</v>
      </c>
    </row>
  </sheetData>
  <autoFilter ref="A1:F36"/>
  <conditionalFormatting sqref="D1:D17 D21:D1048576">
    <cfRule type="cellIs" dxfId="308" priority="16" operator="equal">
      <formula>"PAGADO"</formula>
    </cfRule>
    <cfRule type="cellIs" dxfId="307" priority="17" operator="equal">
      <formula>"PENDIENTE"</formula>
    </cfRule>
    <cfRule type="cellIs" dxfId="306" priority="18" operator="equal">
      <formula>"""PENDIENTE"""</formula>
    </cfRule>
  </conditionalFormatting>
  <conditionalFormatting sqref="E19:E1048576 E1:E17">
    <cfRule type="cellIs" dxfId="305" priority="14" operator="equal">
      <formula>"FACTURADO"</formula>
    </cfRule>
    <cfRule type="cellIs" dxfId="304" priority="15" operator="equal">
      <formula>"NO FACTURADO"</formula>
    </cfRule>
  </conditionalFormatting>
  <conditionalFormatting sqref="F19:F1048576 F1:F17">
    <cfRule type="cellIs" dxfId="303" priority="10" operator="equal">
      <formula>"NATALIA"</formula>
    </cfRule>
    <cfRule type="cellIs" dxfId="302" priority="11" operator="equal">
      <formula>"DELIS"</formula>
    </cfRule>
    <cfRule type="cellIs" dxfId="301" priority="12" operator="equal">
      <formula>"CESAR"</formula>
    </cfRule>
    <cfRule type="cellIs" dxfId="300" priority="13" operator="equal">
      <formula>"OMAR"</formula>
    </cfRule>
  </conditionalFormatting>
  <conditionalFormatting sqref="D18:D20">
    <cfRule type="cellIs" dxfId="299" priority="7" operator="equal">
      <formula>"PAGADO"</formula>
    </cfRule>
    <cfRule type="cellIs" dxfId="298" priority="8" operator="equal">
      <formula>"PENDIENTE"</formula>
    </cfRule>
    <cfRule type="cellIs" dxfId="297" priority="9" operator="equal">
      <formula>"""PENDIENTE"""</formula>
    </cfRule>
  </conditionalFormatting>
  <conditionalFormatting sqref="E18">
    <cfRule type="cellIs" dxfId="296" priority="5" operator="equal">
      <formula>"FACTURADO"</formula>
    </cfRule>
    <cfRule type="cellIs" dxfId="295" priority="6" operator="equal">
      <formula>"NO FACTURADO"</formula>
    </cfRule>
  </conditionalFormatting>
  <conditionalFormatting sqref="F18">
    <cfRule type="cellIs" dxfId="294" priority="1" operator="equal">
      <formula>"NATALIA"</formula>
    </cfRule>
    <cfRule type="cellIs" dxfId="293" priority="2" operator="equal">
      <formula>"DELIS"</formula>
    </cfRule>
    <cfRule type="cellIs" dxfId="292" priority="3" operator="equal">
      <formula>"CESAR"</formula>
    </cfRule>
    <cfRule type="cellIs" dxfId="29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K348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1" max="11" width="30.140625" customWidth="1"/>
  </cols>
  <sheetData>
    <row r="1" spans="1:11" x14ac:dyDescent="0.25">
      <c r="A1" s="5" t="s">
        <v>188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43466</v>
      </c>
      <c r="B2" t="s">
        <v>20</v>
      </c>
      <c r="D2" s="10" t="s">
        <v>26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90" si="0">IF(D2="PENDIENTE",C2,0)</f>
        <v>0</v>
      </c>
      <c r="J2" s="4">
        <f>SUM(I:I)</f>
        <v>538000</v>
      </c>
      <c r="K2" s="11" t="s">
        <v>121</v>
      </c>
    </row>
    <row r="3" spans="1:11" x14ac:dyDescent="0.25">
      <c r="A3" s="2">
        <v>44237</v>
      </c>
      <c r="B3" t="s">
        <v>105</v>
      </c>
      <c r="C3" s="4">
        <v>5000</v>
      </c>
      <c r="D3" s="10" t="s">
        <v>26</v>
      </c>
      <c r="E3" t="s">
        <v>22</v>
      </c>
      <c r="F3" t="s">
        <v>25</v>
      </c>
      <c r="I3" s="4">
        <f t="shared" si="0"/>
        <v>0</v>
      </c>
    </row>
    <row r="4" spans="1:11" x14ac:dyDescent="0.25">
      <c r="A4" s="2">
        <v>44237</v>
      </c>
      <c r="B4" t="s">
        <v>106</v>
      </c>
      <c r="C4" s="4">
        <v>8000</v>
      </c>
      <c r="D4" s="10" t="s">
        <v>26</v>
      </c>
      <c r="E4" t="s">
        <v>22</v>
      </c>
      <c r="F4" t="s">
        <v>25</v>
      </c>
      <c r="I4" s="4">
        <f t="shared" si="0"/>
        <v>0</v>
      </c>
    </row>
    <row r="5" spans="1:11" x14ac:dyDescent="0.25">
      <c r="A5" s="2">
        <v>44239</v>
      </c>
      <c r="B5" t="s">
        <v>106</v>
      </c>
      <c r="C5" s="4">
        <v>8000</v>
      </c>
      <c r="D5" s="10" t="s">
        <v>26</v>
      </c>
      <c r="E5" t="s">
        <v>22</v>
      </c>
      <c r="F5" t="s">
        <v>25</v>
      </c>
      <c r="I5" s="4">
        <f t="shared" si="0"/>
        <v>0</v>
      </c>
    </row>
    <row r="6" spans="1:11" x14ac:dyDescent="0.25">
      <c r="A6" s="2">
        <v>44239</v>
      </c>
      <c r="B6" t="s">
        <v>109</v>
      </c>
      <c r="C6" s="4">
        <v>5000</v>
      </c>
      <c r="D6" s="10" t="s">
        <v>26</v>
      </c>
      <c r="E6" t="s">
        <v>22</v>
      </c>
      <c r="F6" t="s">
        <v>25</v>
      </c>
      <c r="I6" s="4">
        <f t="shared" si="0"/>
        <v>0</v>
      </c>
    </row>
    <row r="7" spans="1:11" x14ac:dyDescent="0.25">
      <c r="A7" s="2">
        <v>44250</v>
      </c>
      <c r="B7" t="s">
        <v>134</v>
      </c>
      <c r="C7" s="4">
        <v>163000</v>
      </c>
      <c r="D7" s="10" t="s">
        <v>26</v>
      </c>
      <c r="E7" t="s">
        <v>22</v>
      </c>
      <c r="F7" t="s">
        <v>25</v>
      </c>
      <c r="I7" s="4">
        <f t="shared" si="0"/>
        <v>0</v>
      </c>
    </row>
    <row r="8" spans="1:11" x14ac:dyDescent="0.25">
      <c r="A8" s="2">
        <v>44287</v>
      </c>
      <c r="B8" t="s">
        <v>205</v>
      </c>
      <c r="C8" s="4">
        <v>66000</v>
      </c>
      <c r="D8" s="10" t="s">
        <v>26</v>
      </c>
      <c r="E8" t="s">
        <v>22</v>
      </c>
      <c r="F8" t="s">
        <v>25</v>
      </c>
      <c r="I8" s="4">
        <f t="shared" si="0"/>
        <v>0</v>
      </c>
    </row>
    <row r="9" spans="1:11" x14ac:dyDescent="0.25">
      <c r="A9" s="2">
        <v>44302</v>
      </c>
      <c r="B9" t="s">
        <v>221</v>
      </c>
      <c r="C9" s="4">
        <v>83000</v>
      </c>
      <c r="D9" s="10" t="s">
        <v>26</v>
      </c>
      <c r="E9" t="s">
        <v>22</v>
      </c>
      <c r="F9" t="s">
        <v>25</v>
      </c>
      <c r="I9" s="4">
        <f t="shared" si="0"/>
        <v>0</v>
      </c>
    </row>
    <row r="10" spans="1:11" x14ac:dyDescent="0.25">
      <c r="A10" s="2">
        <v>44312</v>
      </c>
      <c r="B10" t="s">
        <v>235</v>
      </c>
      <c r="C10" s="4">
        <v>22000</v>
      </c>
      <c r="D10" s="10" t="s">
        <v>26</v>
      </c>
      <c r="E10" t="s">
        <v>22</v>
      </c>
      <c r="F10" t="s">
        <v>25</v>
      </c>
      <c r="I10" s="4">
        <f t="shared" si="0"/>
        <v>0</v>
      </c>
    </row>
    <row r="11" spans="1:11" x14ac:dyDescent="0.25">
      <c r="A11" s="2">
        <v>44334</v>
      </c>
      <c r="B11" t="s">
        <v>252</v>
      </c>
      <c r="C11" s="4">
        <v>14000</v>
      </c>
      <c r="D11" s="10" t="s">
        <v>26</v>
      </c>
      <c r="E11" t="s">
        <v>218</v>
      </c>
      <c r="F11" t="s">
        <v>25</v>
      </c>
      <c r="I11" s="4">
        <f t="shared" si="0"/>
        <v>0</v>
      </c>
    </row>
    <row r="12" spans="1:11" x14ac:dyDescent="0.25">
      <c r="A12" s="2">
        <v>44335</v>
      </c>
      <c r="B12" t="s">
        <v>253</v>
      </c>
      <c r="C12" s="4">
        <v>53000</v>
      </c>
      <c r="D12" s="10" t="s">
        <v>26</v>
      </c>
      <c r="E12" t="s">
        <v>22</v>
      </c>
      <c r="F12" t="s">
        <v>25</v>
      </c>
      <c r="I12" s="4">
        <f t="shared" si="0"/>
        <v>0</v>
      </c>
    </row>
    <row r="13" spans="1:11" x14ac:dyDescent="0.25">
      <c r="A13" s="2">
        <v>44336</v>
      </c>
      <c r="B13" t="s">
        <v>256</v>
      </c>
      <c r="C13" s="4">
        <v>15000</v>
      </c>
      <c r="D13" s="10" t="s">
        <v>26</v>
      </c>
      <c r="E13" t="s">
        <v>22</v>
      </c>
      <c r="F13" t="s">
        <v>25</v>
      </c>
      <c r="I13" s="4">
        <f t="shared" si="0"/>
        <v>0</v>
      </c>
    </row>
    <row r="14" spans="1:11" x14ac:dyDescent="0.25">
      <c r="A14" s="18">
        <v>44341</v>
      </c>
      <c r="B14" t="s">
        <v>262</v>
      </c>
      <c r="C14" s="4">
        <v>121000</v>
      </c>
      <c r="D14" s="10" t="s">
        <v>26</v>
      </c>
      <c r="E14" t="s">
        <v>22</v>
      </c>
      <c r="F14" t="s">
        <v>25</v>
      </c>
      <c r="I14" s="4">
        <f t="shared" si="0"/>
        <v>0</v>
      </c>
    </row>
    <row r="15" spans="1:11" x14ac:dyDescent="0.25">
      <c r="A15" s="2">
        <v>44347</v>
      </c>
      <c r="B15" t="s">
        <v>263</v>
      </c>
      <c r="C15" s="4">
        <v>650000</v>
      </c>
      <c r="D15" s="10" t="s">
        <v>26</v>
      </c>
      <c r="E15" t="s">
        <v>53</v>
      </c>
      <c r="F15" t="s">
        <v>25</v>
      </c>
      <c r="I15" s="4">
        <f>IF(D15="PENDIENTE",C15,0)</f>
        <v>0</v>
      </c>
    </row>
    <row r="16" spans="1:11" x14ac:dyDescent="0.25">
      <c r="A16" s="2">
        <v>44356</v>
      </c>
      <c r="B16" t="s">
        <v>279</v>
      </c>
      <c r="C16" s="4">
        <v>120000</v>
      </c>
      <c r="D16" s="10" t="s">
        <v>26</v>
      </c>
      <c r="E16" t="s">
        <v>22</v>
      </c>
      <c r="F16" t="s">
        <v>25</v>
      </c>
      <c r="I16" s="4">
        <f t="shared" si="0"/>
        <v>0</v>
      </c>
    </row>
    <row r="17" spans="1:9" x14ac:dyDescent="0.25">
      <c r="A17" s="2">
        <v>44357</v>
      </c>
      <c r="B17" t="s">
        <v>282</v>
      </c>
      <c r="C17" s="4">
        <v>27000</v>
      </c>
      <c r="D17" s="10" t="s">
        <v>26</v>
      </c>
      <c r="E17" t="s">
        <v>22</v>
      </c>
      <c r="F17" t="s">
        <v>25</v>
      </c>
      <c r="I17" s="4">
        <f>IF(D17="PENDIENTE",C17,0)</f>
        <v>0</v>
      </c>
    </row>
    <row r="18" spans="1:9" x14ac:dyDescent="0.25">
      <c r="A18" s="2">
        <v>44379</v>
      </c>
      <c r="B18" t="s">
        <v>304</v>
      </c>
      <c r="C18" s="4">
        <v>43000</v>
      </c>
      <c r="D18" s="10" t="s">
        <v>26</v>
      </c>
      <c r="E18" t="s">
        <v>22</v>
      </c>
      <c r="F18" t="s">
        <v>25</v>
      </c>
      <c r="I18" s="4">
        <f t="shared" si="0"/>
        <v>0</v>
      </c>
    </row>
    <row r="19" spans="1:9" x14ac:dyDescent="0.25">
      <c r="A19" s="2">
        <v>44385</v>
      </c>
      <c r="B19" t="s">
        <v>305</v>
      </c>
      <c r="C19" s="4">
        <v>39500</v>
      </c>
      <c r="D19" s="10" t="s">
        <v>26</v>
      </c>
      <c r="E19" t="s">
        <v>22</v>
      </c>
      <c r="F19" t="s">
        <v>25</v>
      </c>
      <c r="I19" s="4">
        <f t="shared" si="0"/>
        <v>0</v>
      </c>
    </row>
    <row r="20" spans="1:9" x14ac:dyDescent="0.25">
      <c r="A20" s="2">
        <v>44386</v>
      </c>
      <c r="B20" t="s">
        <v>307</v>
      </c>
      <c r="C20" s="4">
        <v>19500</v>
      </c>
      <c r="D20" s="10" t="s">
        <v>26</v>
      </c>
      <c r="E20" t="s">
        <v>22</v>
      </c>
      <c r="F20" t="s">
        <v>25</v>
      </c>
      <c r="I20" s="4">
        <f t="shared" si="0"/>
        <v>0</v>
      </c>
    </row>
    <row r="21" spans="1:9" x14ac:dyDescent="0.25">
      <c r="A21" s="2">
        <v>44397</v>
      </c>
      <c r="B21" t="s">
        <v>317</v>
      </c>
      <c r="C21" s="4">
        <v>50000</v>
      </c>
      <c r="D21" s="10" t="s">
        <v>26</v>
      </c>
      <c r="E21" t="s">
        <v>22</v>
      </c>
      <c r="F21" t="s">
        <v>25</v>
      </c>
      <c r="I21" s="4">
        <f t="shared" si="0"/>
        <v>0</v>
      </c>
    </row>
    <row r="22" spans="1:9" x14ac:dyDescent="0.25">
      <c r="A22" s="2">
        <v>44397</v>
      </c>
      <c r="B22" t="s">
        <v>318</v>
      </c>
      <c r="C22" s="4">
        <v>3500</v>
      </c>
      <c r="D22" s="10" t="s">
        <v>26</v>
      </c>
      <c r="E22" t="s">
        <v>22</v>
      </c>
      <c r="F22" t="s">
        <v>25</v>
      </c>
      <c r="I22" s="4">
        <f t="shared" si="0"/>
        <v>0</v>
      </c>
    </row>
    <row r="23" spans="1:9" x14ac:dyDescent="0.25">
      <c r="A23" s="2">
        <v>44397</v>
      </c>
      <c r="B23" t="s">
        <v>8</v>
      </c>
      <c r="C23" s="4">
        <v>6500</v>
      </c>
      <c r="D23" s="10" t="s">
        <v>26</v>
      </c>
      <c r="E23" t="s">
        <v>22</v>
      </c>
      <c r="F23" t="s">
        <v>25</v>
      </c>
      <c r="I23" s="4">
        <f t="shared" si="0"/>
        <v>0</v>
      </c>
    </row>
    <row r="24" spans="1:9" x14ac:dyDescent="0.25">
      <c r="A24" s="2">
        <v>44399</v>
      </c>
      <c r="B24" t="s">
        <v>319</v>
      </c>
      <c r="C24" s="4">
        <v>36000</v>
      </c>
      <c r="D24" s="10" t="s">
        <v>26</v>
      </c>
      <c r="E24" t="s">
        <v>218</v>
      </c>
      <c r="F24" t="s">
        <v>25</v>
      </c>
      <c r="I24" s="4">
        <f t="shared" si="0"/>
        <v>0</v>
      </c>
    </row>
    <row r="25" spans="1:9" x14ac:dyDescent="0.25">
      <c r="A25" s="2">
        <v>44411</v>
      </c>
      <c r="B25" t="s">
        <v>338</v>
      </c>
      <c r="C25" s="4">
        <v>15000</v>
      </c>
      <c r="D25" s="10" t="s">
        <v>356</v>
      </c>
      <c r="I25" s="4">
        <f t="shared" si="0"/>
        <v>0</v>
      </c>
    </row>
    <row r="26" spans="1:9" x14ac:dyDescent="0.25">
      <c r="A26" s="2">
        <v>44411</v>
      </c>
      <c r="B26" t="s">
        <v>339</v>
      </c>
      <c r="C26" s="4">
        <v>30000</v>
      </c>
      <c r="D26" s="10" t="s">
        <v>26</v>
      </c>
      <c r="F26" t="s">
        <v>25</v>
      </c>
      <c r="I26" s="4">
        <f t="shared" si="0"/>
        <v>0</v>
      </c>
    </row>
    <row r="27" spans="1:9" x14ac:dyDescent="0.25">
      <c r="A27" s="2">
        <v>44441</v>
      </c>
      <c r="B27" t="s">
        <v>363</v>
      </c>
      <c r="C27" s="4">
        <v>90000</v>
      </c>
      <c r="D27" s="10" t="s">
        <v>26</v>
      </c>
      <c r="E27" t="s">
        <v>218</v>
      </c>
      <c r="F27" t="s">
        <v>25</v>
      </c>
      <c r="I27" s="4">
        <f t="shared" si="0"/>
        <v>0</v>
      </c>
    </row>
    <row r="28" spans="1:9" x14ac:dyDescent="0.25">
      <c r="A28" s="2">
        <v>44442</v>
      </c>
      <c r="B28" t="s">
        <v>365</v>
      </c>
      <c r="C28" s="4">
        <v>28000</v>
      </c>
      <c r="D28" s="10" t="s">
        <v>26</v>
      </c>
      <c r="E28" t="s">
        <v>218</v>
      </c>
      <c r="F28" t="s">
        <v>25</v>
      </c>
      <c r="I28" s="4">
        <f t="shared" si="0"/>
        <v>0</v>
      </c>
    </row>
    <row r="29" spans="1:9" x14ac:dyDescent="0.25">
      <c r="A29" s="2">
        <v>44445</v>
      </c>
      <c r="B29" t="s">
        <v>366</v>
      </c>
      <c r="C29" s="4">
        <v>29000</v>
      </c>
      <c r="D29" s="10" t="s">
        <v>26</v>
      </c>
      <c r="E29" t="s">
        <v>218</v>
      </c>
      <c r="F29" t="s">
        <v>25</v>
      </c>
      <c r="I29" s="4">
        <f t="shared" si="0"/>
        <v>0</v>
      </c>
    </row>
    <row r="30" spans="1:9" x14ac:dyDescent="0.25">
      <c r="A30" s="2">
        <v>44446</v>
      </c>
      <c r="B30" t="s">
        <v>369</v>
      </c>
      <c r="C30" s="4">
        <v>59000</v>
      </c>
      <c r="D30" s="10" t="s">
        <v>26</v>
      </c>
      <c r="F30" t="s">
        <v>270</v>
      </c>
      <c r="I30" s="4">
        <f t="shared" si="0"/>
        <v>0</v>
      </c>
    </row>
    <row r="31" spans="1:9" x14ac:dyDescent="0.25">
      <c r="A31" s="2">
        <v>44463</v>
      </c>
      <c r="B31" t="s">
        <v>382</v>
      </c>
      <c r="C31" s="4">
        <v>75000</v>
      </c>
      <c r="D31" s="10" t="s">
        <v>356</v>
      </c>
      <c r="E31" t="s">
        <v>218</v>
      </c>
      <c r="F31" t="s">
        <v>25</v>
      </c>
      <c r="I31" s="4">
        <f t="shared" si="0"/>
        <v>0</v>
      </c>
    </row>
    <row r="32" spans="1:9" x14ac:dyDescent="0.25">
      <c r="A32" s="2">
        <v>44488</v>
      </c>
      <c r="B32" t="s">
        <v>405</v>
      </c>
      <c r="C32" s="4">
        <v>20000</v>
      </c>
      <c r="D32" s="10" t="s">
        <v>26</v>
      </c>
      <c r="E32" t="s">
        <v>22</v>
      </c>
      <c r="F32" t="s">
        <v>25</v>
      </c>
      <c r="I32" s="4">
        <f t="shared" si="0"/>
        <v>0</v>
      </c>
    </row>
    <row r="33" spans="1:9" x14ac:dyDescent="0.25">
      <c r="A33" s="2">
        <v>44511</v>
      </c>
      <c r="B33" t="s">
        <v>422</v>
      </c>
      <c r="C33" s="4">
        <v>24000</v>
      </c>
      <c r="D33" s="10" t="s">
        <v>26</v>
      </c>
      <c r="F33" t="s">
        <v>25</v>
      </c>
      <c r="I33" s="4">
        <f t="shared" si="0"/>
        <v>0</v>
      </c>
    </row>
    <row r="34" spans="1:9" x14ac:dyDescent="0.25">
      <c r="A34" s="2">
        <v>44523</v>
      </c>
      <c r="B34" t="s">
        <v>429</v>
      </c>
      <c r="C34" s="4">
        <v>40000</v>
      </c>
      <c r="D34" s="10" t="s">
        <v>26</v>
      </c>
      <c r="E34" t="s">
        <v>218</v>
      </c>
      <c r="F34" t="s">
        <v>25</v>
      </c>
      <c r="I34" s="4">
        <f t="shared" si="0"/>
        <v>0</v>
      </c>
    </row>
    <row r="35" spans="1:9" x14ac:dyDescent="0.25">
      <c r="A35" s="2">
        <v>44525</v>
      </c>
      <c r="B35" t="s">
        <v>434</v>
      </c>
      <c r="C35" s="4">
        <v>60000</v>
      </c>
      <c r="D35" s="10" t="s">
        <v>26</v>
      </c>
      <c r="F35" t="s">
        <v>25</v>
      </c>
      <c r="I35" s="4">
        <f t="shared" si="0"/>
        <v>0</v>
      </c>
    </row>
    <row r="36" spans="1:9" x14ac:dyDescent="0.25">
      <c r="A36" s="2">
        <v>44532</v>
      </c>
      <c r="B36" t="s">
        <v>439</v>
      </c>
      <c r="C36" s="4">
        <v>60000</v>
      </c>
      <c r="D36" s="10" t="s">
        <v>26</v>
      </c>
      <c r="E36" t="s">
        <v>22</v>
      </c>
      <c r="F36" t="s">
        <v>25</v>
      </c>
      <c r="I36" s="4">
        <f t="shared" si="0"/>
        <v>0</v>
      </c>
    </row>
    <row r="37" spans="1:9" x14ac:dyDescent="0.25">
      <c r="A37" s="2">
        <v>44532</v>
      </c>
      <c r="B37" t="s">
        <v>440</v>
      </c>
      <c r="C37" s="4">
        <v>33000</v>
      </c>
      <c r="D37" s="10" t="s">
        <v>26</v>
      </c>
      <c r="E37" t="s">
        <v>22</v>
      </c>
      <c r="F37" t="s">
        <v>25</v>
      </c>
      <c r="I37" s="4">
        <f t="shared" si="0"/>
        <v>0</v>
      </c>
    </row>
    <row r="38" spans="1:9" x14ac:dyDescent="0.25">
      <c r="A38" s="2">
        <v>44546</v>
      </c>
      <c r="B38" t="s">
        <v>450</v>
      </c>
      <c r="C38" s="4">
        <v>22000</v>
      </c>
      <c r="D38" s="10" t="s">
        <v>26</v>
      </c>
      <c r="E38" t="s">
        <v>218</v>
      </c>
      <c r="F38" t="s">
        <v>229</v>
      </c>
      <c r="I38" s="4">
        <f t="shared" si="0"/>
        <v>0</v>
      </c>
    </row>
    <row r="39" spans="1:9" x14ac:dyDescent="0.25">
      <c r="A39" s="2">
        <v>44546</v>
      </c>
      <c r="B39" t="s">
        <v>451</v>
      </c>
      <c r="C39" s="4">
        <v>33000</v>
      </c>
      <c r="D39" s="10" t="s">
        <v>364</v>
      </c>
      <c r="E39" t="s">
        <v>218</v>
      </c>
      <c r="F39" t="s">
        <v>25</v>
      </c>
      <c r="I39" s="4">
        <f t="shared" si="0"/>
        <v>33000</v>
      </c>
    </row>
    <row r="40" spans="1:9" x14ac:dyDescent="0.25">
      <c r="A40" s="2">
        <v>44546</v>
      </c>
      <c r="B40" t="s">
        <v>452</v>
      </c>
      <c r="C40" s="4">
        <v>22000</v>
      </c>
      <c r="D40" s="10" t="s">
        <v>26</v>
      </c>
      <c r="E40" t="s">
        <v>218</v>
      </c>
      <c r="F40" t="s">
        <v>25</v>
      </c>
      <c r="I40" s="4">
        <f t="shared" si="0"/>
        <v>0</v>
      </c>
    </row>
    <row r="41" spans="1:9" x14ac:dyDescent="0.25">
      <c r="A41" s="2">
        <v>44546</v>
      </c>
      <c r="B41" t="s">
        <v>453</v>
      </c>
      <c r="C41" s="4">
        <v>23000</v>
      </c>
      <c r="D41" s="10" t="s">
        <v>26</v>
      </c>
      <c r="E41" t="s">
        <v>218</v>
      </c>
      <c r="F41" t="s">
        <v>25</v>
      </c>
      <c r="I41" s="4">
        <f t="shared" si="0"/>
        <v>0</v>
      </c>
    </row>
    <row r="42" spans="1:9" x14ac:dyDescent="0.25">
      <c r="A42" s="2">
        <v>44550</v>
      </c>
      <c r="B42" t="s">
        <v>455</v>
      </c>
      <c r="C42" s="4">
        <v>100000</v>
      </c>
      <c r="D42" s="10" t="s">
        <v>26</v>
      </c>
      <c r="E42" t="s">
        <v>218</v>
      </c>
      <c r="F42" t="s">
        <v>25</v>
      </c>
      <c r="I42" s="4">
        <f t="shared" si="0"/>
        <v>0</v>
      </c>
    </row>
    <row r="43" spans="1:9" x14ac:dyDescent="0.25">
      <c r="A43" s="2">
        <v>44550</v>
      </c>
      <c r="B43" t="s">
        <v>456</v>
      </c>
      <c r="C43" s="4">
        <v>3000</v>
      </c>
      <c r="D43" s="10" t="s">
        <v>26</v>
      </c>
      <c r="E43" t="s">
        <v>218</v>
      </c>
      <c r="F43" t="s">
        <v>25</v>
      </c>
      <c r="I43" s="4">
        <f t="shared" si="0"/>
        <v>0</v>
      </c>
    </row>
    <row r="44" spans="1:9" x14ac:dyDescent="0.25">
      <c r="A44" s="2">
        <v>44559</v>
      </c>
      <c r="B44" t="s">
        <v>471</v>
      </c>
      <c r="C44" s="4">
        <v>38000</v>
      </c>
      <c r="D44" s="10" t="s">
        <v>364</v>
      </c>
      <c r="E44" t="s">
        <v>218</v>
      </c>
      <c r="F44" t="s">
        <v>25</v>
      </c>
      <c r="I44" s="4">
        <f t="shared" si="0"/>
        <v>38000</v>
      </c>
    </row>
    <row r="45" spans="1:9" x14ac:dyDescent="0.25">
      <c r="A45" s="2">
        <v>44575</v>
      </c>
      <c r="B45" t="s">
        <v>551</v>
      </c>
      <c r="C45" s="4">
        <v>40000</v>
      </c>
      <c r="D45" s="10" t="s">
        <v>26</v>
      </c>
      <c r="E45" t="s">
        <v>218</v>
      </c>
      <c r="F45" t="s">
        <v>25</v>
      </c>
      <c r="I45" s="4">
        <f t="shared" si="0"/>
        <v>0</v>
      </c>
    </row>
    <row r="46" spans="1:9" x14ac:dyDescent="0.25">
      <c r="A46" s="2">
        <v>44578</v>
      </c>
      <c r="B46" t="s">
        <v>500</v>
      </c>
      <c r="C46" s="4">
        <v>25000</v>
      </c>
      <c r="D46" s="10" t="s">
        <v>26</v>
      </c>
      <c r="E46" t="s">
        <v>218</v>
      </c>
      <c r="F46" t="s">
        <v>25</v>
      </c>
      <c r="I46" s="4">
        <f t="shared" si="0"/>
        <v>0</v>
      </c>
    </row>
    <row r="47" spans="1:9" x14ac:dyDescent="0.25">
      <c r="A47" s="2">
        <v>44581</v>
      </c>
      <c r="B47" t="s">
        <v>510</v>
      </c>
      <c r="C47" s="4">
        <v>64000</v>
      </c>
      <c r="D47" s="10" t="s">
        <v>26</v>
      </c>
      <c r="E47" t="s">
        <v>22</v>
      </c>
      <c r="F47" t="s">
        <v>25</v>
      </c>
      <c r="I47" s="4">
        <f t="shared" si="0"/>
        <v>0</v>
      </c>
    </row>
    <row r="48" spans="1:9" x14ac:dyDescent="0.25">
      <c r="A48" s="2">
        <v>44581</v>
      </c>
      <c r="B48" t="s">
        <v>512</v>
      </c>
      <c r="C48" s="4">
        <v>160500</v>
      </c>
      <c r="D48" s="10" t="s">
        <v>26</v>
      </c>
      <c r="E48" t="s">
        <v>22</v>
      </c>
      <c r="F48" t="s">
        <v>25</v>
      </c>
      <c r="I48" s="4">
        <f t="shared" si="0"/>
        <v>0</v>
      </c>
    </row>
    <row r="49" spans="1:9" x14ac:dyDescent="0.25">
      <c r="A49" s="2">
        <v>44581</v>
      </c>
      <c r="B49" t="s">
        <v>511</v>
      </c>
      <c r="C49" s="4">
        <v>165000</v>
      </c>
      <c r="D49" s="10" t="s">
        <v>26</v>
      </c>
      <c r="E49" t="s">
        <v>218</v>
      </c>
      <c r="F49" t="s">
        <v>25</v>
      </c>
      <c r="I49" s="4">
        <f t="shared" si="0"/>
        <v>0</v>
      </c>
    </row>
    <row r="50" spans="1:9" x14ac:dyDescent="0.25">
      <c r="A50" s="2">
        <v>44587</v>
      </c>
      <c r="B50" t="s">
        <v>518</v>
      </c>
      <c r="C50" s="4">
        <v>27000</v>
      </c>
      <c r="D50" s="10" t="s">
        <v>26</v>
      </c>
      <c r="E50" t="s">
        <v>22</v>
      </c>
      <c r="F50" t="s">
        <v>52</v>
      </c>
      <c r="I50" s="4">
        <f t="shared" si="0"/>
        <v>0</v>
      </c>
    </row>
    <row r="51" spans="1:9" x14ac:dyDescent="0.25">
      <c r="A51" s="2">
        <v>44616</v>
      </c>
      <c r="B51" t="s">
        <v>547</v>
      </c>
      <c r="C51" s="4">
        <v>20000</v>
      </c>
      <c r="D51" s="10" t="s">
        <v>26</v>
      </c>
      <c r="E51" t="s">
        <v>218</v>
      </c>
      <c r="F51" t="s">
        <v>52</v>
      </c>
      <c r="I51" s="4">
        <f t="shared" si="0"/>
        <v>0</v>
      </c>
    </row>
    <row r="52" spans="1:9" x14ac:dyDescent="0.25">
      <c r="A52" s="2">
        <v>44617</v>
      </c>
      <c r="B52" t="s">
        <v>549</v>
      </c>
      <c r="C52" s="4">
        <v>14000</v>
      </c>
      <c r="D52" s="10" t="s">
        <v>26</v>
      </c>
      <c r="E52" t="s">
        <v>218</v>
      </c>
      <c r="F52" t="s">
        <v>25</v>
      </c>
      <c r="I52" s="4">
        <f t="shared" si="0"/>
        <v>0</v>
      </c>
    </row>
    <row r="53" spans="1:9" x14ac:dyDescent="0.25">
      <c r="A53" s="2">
        <v>44617</v>
      </c>
      <c r="B53" t="s">
        <v>550</v>
      </c>
      <c r="C53" s="4">
        <v>115000</v>
      </c>
      <c r="D53" s="10" t="s">
        <v>26</v>
      </c>
      <c r="E53" t="s">
        <v>218</v>
      </c>
      <c r="F53" t="s">
        <v>25</v>
      </c>
      <c r="I53" s="4">
        <f t="shared" si="0"/>
        <v>0</v>
      </c>
    </row>
    <row r="54" spans="1:9" x14ac:dyDescent="0.25">
      <c r="A54" s="2">
        <v>44631</v>
      </c>
      <c r="B54" t="s">
        <v>557</v>
      </c>
      <c r="C54" s="4">
        <v>49000</v>
      </c>
      <c r="D54" s="10" t="s">
        <v>26</v>
      </c>
      <c r="E54" t="s">
        <v>218</v>
      </c>
      <c r="F54" t="s">
        <v>52</v>
      </c>
      <c r="I54" s="4">
        <f t="shared" si="0"/>
        <v>0</v>
      </c>
    </row>
    <row r="55" spans="1:9" x14ac:dyDescent="0.25">
      <c r="A55" s="2">
        <v>44634</v>
      </c>
      <c r="B55" t="s">
        <v>559</v>
      </c>
      <c r="C55" s="4">
        <v>30000</v>
      </c>
      <c r="D55" s="10" t="s">
        <v>26</v>
      </c>
      <c r="F55" t="s">
        <v>229</v>
      </c>
      <c r="I55" s="4">
        <f t="shared" si="0"/>
        <v>0</v>
      </c>
    </row>
    <row r="56" spans="1:9" x14ac:dyDescent="0.25">
      <c r="A56" s="2">
        <v>44634</v>
      </c>
      <c r="B56" t="s">
        <v>560</v>
      </c>
      <c r="C56" s="4">
        <v>55000</v>
      </c>
      <c r="D56" s="10" t="s">
        <v>26</v>
      </c>
      <c r="F56" t="s">
        <v>25</v>
      </c>
      <c r="I56" s="4">
        <f t="shared" si="0"/>
        <v>0</v>
      </c>
    </row>
    <row r="57" spans="1:9" x14ac:dyDescent="0.25">
      <c r="A57" s="2">
        <v>44648</v>
      </c>
      <c r="B57" t="s">
        <v>582</v>
      </c>
      <c r="C57" s="4">
        <v>60000</v>
      </c>
      <c r="D57" s="10" t="s">
        <v>26</v>
      </c>
      <c r="E57" t="s">
        <v>22</v>
      </c>
      <c r="F57" t="s">
        <v>25</v>
      </c>
      <c r="I57" s="4">
        <f t="shared" si="0"/>
        <v>0</v>
      </c>
    </row>
    <row r="58" spans="1:9" x14ac:dyDescent="0.25">
      <c r="A58" s="2">
        <v>44648</v>
      </c>
      <c r="B58" t="s">
        <v>583</v>
      </c>
      <c r="C58" s="4">
        <v>38000</v>
      </c>
      <c r="D58" s="10" t="s">
        <v>26</v>
      </c>
      <c r="E58" t="s">
        <v>218</v>
      </c>
      <c r="F58" t="s">
        <v>25</v>
      </c>
      <c r="I58" s="4">
        <f t="shared" si="0"/>
        <v>0</v>
      </c>
    </row>
    <row r="59" spans="1:9" x14ac:dyDescent="0.25">
      <c r="A59" s="2">
        <v>44655</v>
      </c>
      <c r="B59" t="s">
        <v>585</v>
      </c>
      <c r="C59" s="4">
        <v>12000</v>
      </c>
      <c r="D59" s="10" t="s">
        <v>26</v>
      </c>
      <c r="E59" t="s">
        <v>22</v>
      </c>
      <c r="F59" t="s">
        <v>25</v>
      </c>
      <c r="I59" s="4">
        <f t="shared" si="0"/>
        <v>0</v>
      </c>
    </row>
    <row r="60" spans="1:9" x14ac:dyDescent="0.25">
      <c r="A60" s="2">
        <v>44656</v>
      </c>
      <c r="B60" t="s">
        <v>586</v>
      </c>
      <c r="C60" s="4">
        <v>33000</v>
      </c>
      <c r="D60" s="10" t="s">
        <v>26</v>
      </c>
      <c r="F60" t="s">
        <v>25</v>
      </c>
      <c r="I60" s="4">
        <f t="shared" si="0"/>
        <v>0</v>
      </c>
    </row>
    <row r="61" spans="1:9" x14ac:dyDescent="0.25">
      <c r="A61" s="2">
        <v>44700</v>
      </c>
      <c r="B61" t="s">
        <v>622</v>
      </c>
      <c r="C61" s="4">
        <v>50000</v>
      </c>
      <c r="D61" s="10" t="s">
        <v>26</v>
      </c>
      <c r="F61" t="s">
        <v>25</v>
      </c>
      <c r="I61" s="4">
        <f t="shared" si="0"/>
        <v>0</v>
      </c>
    </row>
    <row r="62" spans="1:9" x14ac:dyDescent="0.25">
      <c r="A62" s="2">
        <v>44701</v>
      </c>
      <c r="B62" t="s">
        <v>630</v>
      </c>
      <c r="C62" s="4">
        <v>20000</v>
      </c>
      <c r="D62" s="10" t="s">
        <v>26</v>
      </c>
      <c r="F62" t="s">
        <v>25</v>
      </c>
      <c r="I62" s="4">
        <f t="shared" si="0"/>
        <v>0</v>
      </c>
    </row>
    <row r="63" spans="1:9" x14ac:dyDescent="0.25">
      <c r="A63" s="2">
        <v>44719</v>
      </c>
      <c r="B63" t="s">
        <v>635</v>
      </c>
      <c r="C63" s="4">
        <v>58000</v>
      </c>
      <c r="D63" s="10" t="s">
        <v>26</v>
      </c>
      <c r="F63" t="s">
        <v>25</v>
      </c>
      <c r="I63" s="4">
        <f t="shared" si="0"/>
        <v>0</v>
      </c>
    </row>
    <row r="64" spans="1:9" x14ac:dyDescent="0.25">
      <c r="A64" s="2">
        <v>44726</v>
      </c>
      <c r="B64" t="s">
        <v>640</v>
      </c>
      <c r="C64" s="4">
        <v>98000</v>
      </c>
      <c r="D64" s="10" t="s">
        <v>157</v>
      </c>
      <c r="F64" t="s">
        <v>25</v>
      </c>
      <c r="I64" s="4">
        <f t="shared" si="0"/>
        <v>0</v>
      </c>
    </row>
    <row r="65" spans="1:9" x14ac:dyDescent="0.25">
      <c r="A65" s="2">
        <v>44726</v>
      </c>
      <c r="B65" t="s">
        <v>641</v>
      </c>
      <c r="C65" s="4">
        <v>5000</v>
      </c>
      <c r="D65" s="10" t="s">
        <v>26</v>
      </c>
      <c r="F65" t="s">
        <v>25</v>
      </c>
      <c r="I65" s="4">
        <f t="shared" si="0"/>
        <v>0</v>
      </c>
    </row>
    <row r="66" spans="1:9" x14ac:dyDescent="0.25">
      <c r="A66" s="2">
        <v>44735</v>
      </c>
      <c r="B66" t="s">
        <v>649</v>
      </c>
      <c r="C66" s="4">
        <v>90000</v>
      </c>
      <c r="D66" s="10" t="s">
        <v>26</v>
      </c>
      <c r="F66" t="s">
        <v>25</v>
      </c>
      <c r="I66" s="4">
        <f t="shared" si="0"/>
        <v>0</v>
      </c>
    </row>
    <row r="67" spans="1:9" x14ac:dyDescent="0.25">
      <c r="A67" s="2">
        <v>44749</v>
      </c>
      <c r="B67" t="s">
        <v>660</v>
      </c>
      <c r="C67" s="4">
        <v>12000</v>
      </c>
      <c r="D67" s="10" t="s">
        <v>26</v>
      </c>
      <c r="F67" t="s">
        <v>25</v>
      </c>
      <c r="I67" s="4">
        <f t="shared" si="0"/>
        <v>0</v>
      </c>
    </row>
    <row r="68" spans="1:9" x14ac:dyDescent="0.25">
      <c r="A68" s="2">
        <v>44756</v>
      </c>
      <c r="B68" t="s">
        <v>511</v>
      </c>
      <c r="C68" s="4">
        <v>170000</v>
      </c>
      <c r="D68" s="10" t="s">
        <v>26</v>
      </c>
      <c r="F68" t="s">
        <v>292</v>
      </c>
      <c r="I68" s="4">
        <f t="shared" si="0"/>
        <v>0</v>
      </c>
    </row>
    <row r="69" spans="1:9" x14ac:dyDescent="0.25">
      <c r="A69" s="2">
        <v>44761</v>
      </c>
      <c r="B69" t="s">
        <v>674</v>
      </c>
      <c r="C69" s="4">
        <v>443000</v>
      </c>
      <c r="D69" s="10" t="s">
        <v>26</v>
      </c>
      <c r="F69" t="s">
        <v>25</v>
      </c>
      <c r="I69" s="4">
        <f t="shared" si="0"/>
        <v>0</v>
      </c>
    </row>
    <row r="70" spans="1:9" x14ac:dyDescent="0.25">
      <c r="A70" s="2">
        <v>44777</v>
      </c>
      <c r="B70" t="s">
        <v>686</v>
      </c>
      <c r="C70" s="4">
        <v>59000</v>
      </c>
      <c r="D70" s="10" t="s">
        <v>26</v>
      </c>
      <c r="F70" t="s">
        <v>25</v>
      </c>
      <c r="I70" s="4">
        <f t="shared" si="0"/>
        <v>0</v>
      </c>
    </row>
    <row r="71" spans="1:9" x14ac:dyDescent="0.25">
      <c r="A71" s="2">
        <v>44798</v>
      </c>
      <c r="B71" t="s">
        <v>711</v>
      </c>
      <c r="C71" s="4">
        <v>10000</v>
      </c>
      <c r="D71" s="10" t="s">
        <v>26</v>
      </c>
      <c r="F71" t="s">
        <v>229</v>
      </c>
      <c r="I71" s="4">
        <f t="shared" si="0"/>
        <v>0</v>
      </c>
    </row>
    <row r="72" spans="1:9" x14ac:dyDescent="0.25">
      <c r="A72" s="2">
        <v>44804</v>
      </c>
      <c r="B72" t="s">
        <v>715</v>
      </c>
      <c r="C72" s="4">
        <v>180000</v>
      </c>
      <c r="D72" s="10" t="s">
        <v>26</v>
      </c>
      <c r="F72" t="s">
        <v>25</v>
      </c>
      <c r="I72" s="4">
        <f t="shared" si="0"/>
        <v>0</v>
      </c>
    </row>
    <row r="73" spans="1:9" x14ac:dyDescent="0.25">
      <c r="A73" s="2">
        <v>44809</v>
      </c>
      <c r="B73" t="s">
        <v>721</v>
      </c>
      <c r="C73" s="4">
        <v>62000</v>
      </c>
      <c r="D73" s="10" t="s">
        <v>157</v>
      </c>
      <c r="F73" t="s">
        <v>25</v>
      </c>
      <c r="I73" s="4">
        <f t="shared" si="0"/>
        <v>0</v>
      </c>
    </row>
    <row r="74" spans="1:9" x14ac:dyDescent="0.25">
      <c r="A74" s="2">
        <v>44809</v>
      </c>
      <c r="B74" t="s">
        <v>722</v>
      </c>
      <c r="C74" s="4">
        <v>115000</v>
      </c>
      <c r="D74" s="10" t="s">
        <v>26</v>
      </c>
      <c r="F74" t="s">
        <v>25</v>
      </c>
      <c r="I74" s="4">
        <f t="shared" si="0"/>
        <v>0</v>
      </c>
    </row>
    <row r="75" spans="1:9" x14ac:dyDescent="0.25">
      <c r="A75" s="2">
        <v>44816</v>
      </c>
      <c r="B75" t="s">
        <v>726</v>
      </c>
      <c r="C75" s="4">
        <v>80000</v>
      </c>
      <c r="D75" s="10" t="s">
        <v>26</v>
      </c>
      <c r="F75" t="s">
        <v>229</v>
      </c>
      <c r="I75" s="4">
        <f t="shared" si="0"/>
        <v>0</v>
      </c>
    </row>
    <row r="76" spans="1:9" x14ac:dyDescent="0.25">
      <c r="A76" s="2">
        <v>44816</v>
      </c>
      <c r="B76" t="s">
        <v>727</v>
      </c>
      <c r="C76" s="4">
        <v>55000</v>
      </c>
      <c r="D76" s="10" t="s">
        <v>356</v>
      </c>
      <c r="F76" t="s">
        <v>25</v>
      </c>
      <c r="I76" s="4">
        <f t="shared" si="0"/>
        <v>0</v>
      </c>
    </row>
    <row r="77" spans="1:9" x14ac:dyDescent="0.25">
      <c r="A77" s="2">
        <v>44817</v>
      </c>
      <c r="B77" t="s">
        <v>736</v>
      </c>
      <c r="C77" s="4">
        <v>24000</v>
      </c>
      <c r="D77" s="10" t="s">
        <v>356</v>
      </c>
      <c r="F77" t="s">
        <v>229</v>
      </c>
      <c r="I77" s="4">
        <f t="shared" si="0"/>
        <v>0</v>
      </c>
    </row>
    <row r="78" spans="1:9" x14ac:dyDescent="0.25">
      <c r="A78" s="2">
        <v>44825</v>
      </c>
      <c r="B78" t="s">
        <v>737</v>
      </c>
      <c r="C78" s="4">
        <v>6000</v>
      </c>
      <c r="D78" s="10" t="s">
        <v>356</v>
      </c>
      <c r="F78" t="s">
        <v>25</v>
      </c>
      <c r="I78" s="4">
        <f t="shared" si="0"/>
        <v>0</v>
      </c>
    </row>
    <row r="79" spans="1:9" x14ac:dyDescent="0.25">
      <c r="A79" s="2">
        <v>44826</v>
      </c>
      <c r="B79" t="s">
        <v>740</v>
      </c>
      <c r="C79" s="4">
        <v>50000</v>
      </c>
      <c r="D79" s="10" t="s">
        <v>26</v>
      </c>
      <c r="F79" t="s">
        <v>25</v>
      </c>
      <c r="I79" s="4">
        <f t="shared" si="0"/>
        <v>0</v>
      </c>
    </row>
    <row r="80" spans="1:9" x14ac:dyDescent="0.25">
      <c r="A80" s="2">
        <v>44831</v>
      </c>
      <c r="B80" t="s">
        <v>744</v>
      </c>
      <c r="C80" s="4">
        <v>10000</v>
      </c>
      <c r="D80" s="10" t="s">
        <v>157</v>
      </c>
      <c r="F80" t="s">
        <v>25</v>
      </c>
      <c r="I80" s="4">
        <f t="shared" si="0"/>
        <v>0</v>
      </c>
    </row>
    <row r="81" spans="1:9" x14ac:dyDescent="0.25">
      <c r="A81" s="2">
        <v>44833</v>
      </c>
      <c r="B81" t="s">
        <v>852</v>
      </c>
      <c r="C81" s="4">
        <v>55000</v>
      </c>
      <c r="D81" s="10" t="s">
        <v>26</v>
      </c>
      <c r="F81" t="s">
        <v>229</v>
      </c>
      <c r="I81" s="4">
        <f t="shared" si="0"/>
        <v>0</v>
      </c>
    </row>
    <row r="82" spans="1:9" x14ac:dyDescent="0.25">
      <c r="A82" s="2">
        <v>44837</v>
      </c>
      <c r="B82" t="s">
        <v>763</v>
      </c>
      <c r="C82" s="4">
        <v>179000</v>
      </c>
      <c r="D82" s="10" t="s">
        <v>26</v>
      </c>
      <c r="F82" t="s">
        <v>25</v>
      </c>
      <c r="I82" s="4">
        <f t="shared" si="0"/>
        <v>0</v>
      </c>
    </row>
    <row r="83" spans="1:9" x14ac:dyDescent="0.25">
      <c r="A83" s="2">
        <v>44838</v>
      </c>
      <c r="B83" t="s">
        <v>752</v>
      </c>
      <c r="C83" s="4">
        <v>75000</v>
      </c>
      <c r="D83" s="10" t="s">
        <v>26</v>
      </c>
      <c r="F83" t="s">
        <v>25</v>
      </c>
      <c r="I83" s="4">
        <f t="shared" si="0"/>
        <v>0</v>
      </c>
    </row>
    <row r="84" spans="1:9" x14ac:dyDescent="0.25">
      <c r="A84" s="2">
        <v>44854</v>
      </c>
      <c r="B84" t="s">
        <v>851</v>
      </c>
      <c r="C84" s="4">
        <v>3000</v>
      </c>
      <c r="D84" s="10" t="s">
        <v>26</v>
      </c>
      <c r="F84" t="s">
        <v>229</v>
      </c>
      <c r="I84" s="4">
        <f t="shared" si="0"/>
        <v>0</v>
      </c>
    </row>
    <row r="85" spans="1:9" x14ac:dyDescent="0.25">
      <c r="A85" s="2">
        <v>44858</v>
      </c>
      <c r="B85" t="s">
        <v>773</v>
      </c>
      <c r="C85" s="4">
        <v>25000</v>
      </c>
      <c r="D85" s="10" t="s">
        <v>26</v>
      </c>
      <c r="F85" t="s">
        <v>25</v>
      </c>
      <c r="I85" s="4">
        <f t="shared" si="0"/>
        <v>0</v>
      </c>
    </row>
    <row r="86" spans="1:9" x14ac:dyDescent="0.25">
      <c r="A86" s="2">
        <v>44873</v>
      </c>
      <c r="B86" t="s">
        <v>791</v>
      </c>
      <c r="C86" s="4">
        <v>51000</v>
      </c>
      <c r="D86" s="10" t="s">
        <v>26</v>
      </c>
      <c r="F86" t="s">
        <v>25</v>
      </c>
      <c r="I86" s="4">
        <f t="shared" si="0"/>
        <v>0</v>
      </c>
    </row>
    <row r="87" spans="1:9" x14ac:dyDescent="0.25">
      <c r="A87" s="2">
        <v>44915</v>
      </c>
      <c r="B87" t="s">
        <v>832</v>
      </c>
      <c r="C87" s="4">
        <v>307000</v>
      </c>
      <c r="D87" s="10" t="s">
        <v>157</v>
      </c>
      <c r="F87" t="s">
        <v>25</v>
      </c>
      <c r="I87" s="4">
        <f t="shared" si="0"/>
        <v>0</v>
      </c>
    </row>
    <row r="88" spans="1:9" x14ac:dyDescent="0.25">
      <c r="A88" s="2">
        <v>44916</v>
      </c>
      <c r="B88" t="s">
        <v>833</v>
      </c>
      <c r="C88" s="4">
        <v>8000</v>
      </c>
      <c r="D88" s="10" t="s">
        <v>26</v>
      </c>
      <c r="F88" t="s">
        <v>25</v>
      </c>
      <c r="I88" s="4">
        <f t="shared" si="0"/>
        <v>0</v>
      </c>
    </row>
    <row r="89" spans="1:9" x14ac:dyDescent="0.25">
      <c r="A89" s="2">
        <v>44923</v>
      </c>
      <c r="B89" t="s">
        <v>848</v>
      </c>
      <c r="C89" s="4">
        <v>45000</v>
      </c>
      <c r="D89" s="10" t="s">
        <v>26</v>
      </c>
      <c r="F89" t="s">
        <v>25</v>
      </c>
      <c r="I89" s="4">
        <f t="shared" si="0"/>
        <v>0</v>
      </c>
    </row>
    <row r="90" spans="1:9" x14ac:dyDescent="0.25">
      <c r="A90" s="2">
        <v>44937</v>
      </c>
      <c r="B90" t="s">
        <v>858</v>
      </c>
      <c r="C90" s="4">
        <v>52000</v>
      </c>
      <c r="D90" s="10" t="s">
        <v>26</v>
      </c>
      <c r="F90" t="s">
        <v>25</v>
      </c>
      <c r="I90" s="4">
        <f t="shared" si="0"/>
        <v>0</v>
      </c>
    </row>
    <row r="91" spans="1:9" x14ac:dyDescent="0.25">
      <c r="A91" s="2">
        <v>44937</v>
      </c>
      <c r="B91" t="s">
        <v>859</v>
      </c>
      <c r="C91" s="4">
        <v>50000</v>
      </c>
      <c r="D91" s="10" t="s">
        <v>26</v>
      </c>
      <c r="F91" t="s">
        <v>25</v>
      </c>
      <c r="I91" s="4">
        <f t="shared" ref="I91:I154" si="1">IF(D91="PENDIENTE",C91,0)</f>
        <v>0</v>
      </c>
    </row>
    <row r="92" spans="1:9" x14ac:dyDescent="0.25">
      <c r="A92" s="2">
        <v>44943</v>
      </c>
      <c r="B92" t="s">
        <v>862</v>
      </c>
      <c r="C92" s="4">
        <v>38000</v>
      </c>
      <c r="D92" s="10" t="s">
        <v>26</v>
      </c>
      <c r="F92" t="s">
        <v>25</v>
      </c>
      <c r="I92" s="4">
        <f t="shared" si="1"/>
        <v>0</v>
      </c>
    </row>
    <row r="93" spans="1:9" x14ac:dyDescent="0.25">
      <c r="A93" s="2">
        <v>44943</v>
      </c>
      <c r="B93" t="s">
        <v>866</v>
      </c>
      <c r="C93" s="4">
        <v>120000</v>
      </c>
      <c r="D93" s="10" t="s">
        <v>157</v>
      </c>
      <c r="F93" t="s">
        <v>25</v>
      </c>
      <c r="I93" s="4">
        <f t="shared" si="1"/>
        <v>0</v>
      </c>
    </row>
    <row r="94" spans="1:9" x14ac:dyDescent="0.25">
      <c r="A94" s="2">
        <v>44944</v>
      </c>
      <c r="B94" t="s">
        <v>867</v>
      </c>
      <c r="C94" s="4">
        <v>5000</v>
      </c>
      <c r="D94" s="10" t="s">
        <v>26</v>
      </c>
      <c r="F94" t="s">
        <v>25</v>
      </c>
      <c r="I94" s="4">
        <f t="shared" si="1"/>
        <v>0</v>
      </c>
    </row>
    <row r="95" spans="1:9" x14ac:dyDescent="0.25">
      <c r="A95" s="2">
        <v>44944</v>
      </c>
      <c r="B95" t="s">
        <v>868</v>
      </c>
      <c r="C95" s="4">
        <v>30000</v>
      </c>
      <c r="D95" s="10" t="s">
        <v>26</v>
      </c>
      <c r="F95" t="s">
        <v>25</v>
      </c>
      <c r="I95" s="4">
        <f t="shared" si="1"/>
        <v>0</v>
      </c>
    </row>
    <row r="96" spans="1:9" x14ac:dyDescent="0.25">
      <c r="A96" s="2">
        <v>44957</v>
      </c>
      <c r="B96" t="s">
        <v>877</v>
      </c>
      <c r="C96" s="4">
        <v>45000</v>
      </c>
      <c r="D96" s="10" t="s">
        <v>26</v>
      </c>
      <c r="F96" t="s">
        <v>25</v>
      </c>
      <c r="I96" s="4">
        <f t="shared" si="1"/>
        <v>0</v>
      </c>
    </row>
    <row r="97" spans="1:11" x14ac:dyDescent="0.25">
      <c r="A97" s="2">
        <v>44958</v>
      </c>
      <c r="B97" t="s">
        <v>879</v>
      </c>
      <c r="C97" s="4">
        <v>45000</v>
      </c>
      <c r="D97" s="10" t="s">
        <v>26</v>
      </c>
      <c r="F97" t="s">
        <v>25</v>
      </c>
      <c r="I97" s="4">
        <f t="shared" si="1"/>
        <v>0</v>
      </c>
    </row>
    <row r="98" spans="1:11" x14ac:dyDescent="0.25">
      <c r="A98" s="2">
        <v>44964</v>
      </c>
      <c r="B98" t="s">
        <v>880</v>
      </c>
      <c r="C98" s="4">
        <v>18000</v>
      </c>
      <c r="D98" s="10" t="s">
        <v>26</v>
      </c>
      <c r="F98" t="s">
        <v>25</v>
      </c>
      <c r="I98" s="4">
        <f t="shared" si="1"/>
        <v>0</v>
      </c>
    </row>
    <row r="99" spans="1:11" x14ac:dyDescent="0.25">
      <c r="A99" s="2">
        <v>44965</v>
      </c>
      <c r="B99" t="s">
        <v>881</v>
      </c>
      <c r="C99" s="4">
        <v>34000</v>
      </c>
      <c r="D99" s="10" t="s">
        <v>356</v>
      </c>
      <c r="F99" t="s">
        <v>25</v>
      </c>
      <c r="I99" s="4">
        <f t="shared" si="1"/>
        <v>0</v>
      </c>
    </row>
    <row r="100" spans="1:11" x14ac:dyDescent="0.25">
      <c r="A100" s="2">
        <v>44974</v>
      </c>
      <c r="B100" t="s">
        <v>891</v>
      </c>
      <c r="C100" s="4">
        <v>6000</v>
      </c>
      <c r="D100" s="10" t="s">
        <v>26</v>
      </c>
      <c r="F100" t="s">
        <v>52</v>
      </c>
      <c r="I100" s="4">
        <f t="shared" si="1"/>
        <v>0</v>
      </c>
    </row>
    <row r="101" spans="1:11" x14ac:dyDescent="0.25">
      <c r="A101" s="2">
        <v>44978</v>
      </c>
      <c r="B101" t="s">
        <v>113</v>
      </c>
      <c r="C101" s="4">
        <v>28000</v>
      </c>
      <c r="D101" s="10" t="s">
        <v>26</v>
      </c>
      <c r="E101" t="s">
        <v>22</v>
      </c>
      <c r="F101" t="s">
        <v>25</v>
      </c>
      <c r="I101" s="4">
        <f t="shared" si="1"/>
        <v>0</v>
      </c>
    </row>
    <row r="102" spans="1:11" x14ac:dyDescent="0.25">
      <c r="A102" s="2">
        <v>45020</v>
      </c>
      <c r="B102" t="s">
        <v>922</v>
      </c>
      <c r="C102" s="4">
        <v>58000</v>
      </c>
      <c r="D102" s="10" t="s">
        <v>26</v>
      </c>
      <c r="F102" t="s">
        <v>25</v>
      </c>
      <c r="I102" s="4">
        <f t="shared" si="1"/>
        <v>0</v>
      </c>
      <c r="K102" t="s">
        <v>1008</v>
      </c>
    </row>
    <row r="103" spans="1:11" x14ac:dyDescent="0.25">
      <c r="A103" s="2">
        <v>45020</v>
      </c>
      <c r="B103" t="s">
        <v>923</v>
      </c>
      <c r="C103" s="4">
        <v>35000</v>
      </c>
      <c r="D103" s="10" t="s">
        <v>157</v>
      </c>
      <c r="F103" t="s">
        <v>25</v>
      </c>
      <c r="I103" s="4">
        <f t="shared" si="1"/>
        <v>0</v>
      </c>
    </row>
    <row r="104" spans="1:11" x14ac:dyDescent="0.25">
      <c r="A104" s="2">
        <v>45029</v>
      </c>
      <c r="B104" t="s">
        <v>932</v>
      </c>
      <c r="C104" s="4">
        <v>130500</v>
      </c>
      <c r="D104" s="10" t="s">
        <v>26</v>
      </c>
      <c r="F104" t="s">
        <v>25</v>
      </c>
      <c r="I104" s="4">
        <f t="shared" si="1"/>
        <v>0</v>
      </c>
    </row>
    <row r="105" spans="1:11" x14ac:dyDescent="0.25">
      <c r="A105" s="2">
        <v>45040</v>
      </c>
      <c r="B105" t="s">
        <v>941</v>
      </c>
      <c r="C105" s="4">
        <v>10000</v>
      </c>
      <c r="D105" s="10" t="s">
        <v>157</v>
      </c>
      <c r="F105" t="s">
        <v>25</v>
      </c>
      <c r="I105" s="4">
        <f t="shared" si="1"/>
        <v>0</v>
      </c>
    </row>
    <row r="106" spans="1:11" x14ac:dyDescent="0.25">
      <c r="A106" s="2">
        <v>45042</v>
      </c>
      <c r="B106" t="s">
        <v>8</v>
      </c>
      <c r="C106" s="4">
        <v>7500</v>
      </c>
      <c r="D106" s="10" t="s">
        <v>157</v>
      </c>
      <c r="F106" t="s">
        <v>25</v>
      </c>
      <c r="I106" s="4">
        <f t="shared" si="1"/>
        <v>0</v>
      </c>
    </row>
    <row r="107" spans="1:11" x14ac:dyDescent="0.25">
      <c r="A107" s="2">
        <v>45049</v>
      </c>
      <c r="B107" t="s">
        <v>950</v>
      </c>
      <c r="C107" s="4">
        <v>5000</v>
      </c>
      <c r="D107" s="10" t="s">
        <v>26</v>
      </c>
      <c r="F107" t="s">
        <v>25</v>
      </c>
      <c r="I107" s="4">
        <f t="shared" si="1"/>
        <v>0</v>
      </c>
    </row>
    <row r="108" spans="1:11" x14ac:dyDescent="0.25">
      <c r="A108" s="2">
        <v>45049</v>
      </c>
      <c r="B108" t="s">
        <v>951</v>
      </c>
      <c r="C108" s="4">
        <v>78000</v>
      </c>
      <c r="D108" s="10" t="s">
        <v>26</v>
      </c>
      <c r="F108" t="s">
        <v>25</v>
      </c>
      <c r="I108" s="4">
        <f t="shared" si="1"/>
        <v>0</v>
      </c>
    </row>
    <row r="109" spans="1:11" x14ac:dyDescent="0.25">
      <c r="A109" s="2">
        <v>45061</v>
      </c>
      <c r="B109" t="s">
        <v>972</v>
      </c>
      <c r="C109" s="4">
        <v>85000</v>
      </c>
      <c r="D109" s="10" t="s">
        <v>26</v>
      </c>
      <c r="F109" t="s">
        <v>25</v>
      </c>
      <c r="I109" s="4">
        <f t="shared" si="1"/>
        <v>0</v>
      </c>
    </row>
    <row r="110" spans="1:11" x14ac:dyDescent="0.25">
      <c r="A110" s="2">
        <v>45061</v>
      </c>
      <c r="B110" t="s">
        <v>1009</v>
      </c>
      <c r="C110" s="4">
        <v>312000</v>
      </c>
      <c r="D110" s="10" t="s">
        <v>26</v>
      </c>
      <c r="F110" t="s">
        <v>25</v>
      </c>
      <c r="I110" s="4">
        <f t="shared" si="1"/>
        <v>0</v>
      </c>
    </row>
    <row r="111" spans="1:11" x14ac:dyDescent="0.25">
      <c r="A111" s="2">
        <v>45061</v>
      </c>
      <c r="B111" t="s">
        <v>973</v>
      </c>
      <c r="C111" s="4">
        <v>9000</v>
      </c>
      <c r="D111" s="10" t="s">
        <v>26</v>
      </c>
      <c r="F111" t="s">
        <v>25</v>
      </c>
      <c r="I111" s="4">
        <f t="shared" si="1"/>
        <v>0</v>
      </c>
    </row>
    <row r="112" spans="1:11" x14ac:dyDescent="0.25">
      <c r="A112" s="2">
        <v>45061</v>
      </c>
      <c r="B112" t="s">
        <v>1002</v>
      </c>
      <c r="C112" s="4">
        <v>25000</v>
      </c>
      <c r="D112" s="10" t="s">
        <v>26</v>
      </c>
      <c r="F112" t="s">
        <v>25</v>
      </c>
      <c r="I112" s="4">
        <f t="shared" si="1"/>
        <v>0</v>
      </c>
    </row>
    <row r="113" spans="1:9" x14ac:dyDescent="0.25">
      <c r="A113" s="2">
        <v>45063</v>
      </c>
      <c r="B113" t="s">
        <v>975</v>
      </c>
      <c r="C113" s="4">
        <v>105000</v>
      </c>
      <c r="D113" s="10" t="s">
        <v>26</v>
      </c>
      <c r="F113" t="s">
        <v>25</v>
      </c>
      <c r="I113" s="4">
        <f t="shared" si="1"/>
        <v>0</v>
      </c>
    </row>
    <row r="114" spans="1:9" x14ac:dyDescent="0.25">
      <c r="A114" s="2">
        <v>45063</v>
      </c>
      <c r="B114" t="s">
        <v>976</v>
      </c>
      <c r="C114" s="4">
        <v>55000</v>
      </c>
      <c r="D114" s="10" t="s">
        <v>26</v>
      </c>
      <c r="E114" s="2">
        <v>45071</v>
      </c>
      <c r="F114" t="s">
        <v>25</v>
      </c>
      <c r="I114" s="4">
        <f t="shared" si="1"/>
        <v>0</v>
      </c>
    </row>
    <row r="115" spans="1:9" x14ac:dyDescent="0.25">
      <c r="A115" s="2">
        <v>45064</v>
      </c>
      <c r="B115" t="s">
        <v>977</v>
      </c>
      <c r="C115" s="4">
        <v>108000</v>
      </c>
      <c r="D115" s="10" t="s">
        <v>26</v>
      </c>
      <c r="F115" t="s">
        <v>25</v>
      </c>
      <c r="I115" s="4">
        <f t="shared" si="1"/>
        <v>0</v>
      </c>
    </row>
    <row r="116" spans="1:9" x14ac:dyDescent="0.25">
      <c r="A116" s="2">
        <v>45071</v>
      </c>
      <c r="B116" t="s">
        <v>981</v>
      </c>
      <c r="C116" s="4">
        <v>18000</v>
      </c>
      <c r="D116" s="10" t="s">
        <v>26</v>
      </c>
      <c r="F116" t="s">
        <v>25</v>
      </c>
      <c r="I116" s="4">
        <f t="shared" si="1"/>
        <v>0</v>
      </c>
    </row>
    <row r="117" spans="1:9" x14ac:dyDescent="0.25">
      <c r="A117" s="2">
        <v>45077</v>
      </c>
      <c r="B117" t="s">
        <v>987</v>
      </c>
      <c r="C117" s="4">
        <v>39000</v>
      </c>
      <c r="D117" s="10" t="s">
        <v>26</v>
      </c>
      <c r="F117" t="s">
        <v>25</v>
      </c>
      <c r="I117" s="4">
        <f t="shared" si="1"/>
        <v>0</v>
      </c>
    </row>
    <row r="118" spans="1:9" x14ac:dyDescent="0.25">
      <c r="A118" s="2">
        <v>45078</v>
      </c>
      <c r="B118" t="s">
        <v>990</v>
      </c>
      <c r="C118" s="4">
        <v>12000</v>
      </c>
      <c r="D118" s="10" t="s">
        <v>26</v>
      </c>
      <c r="F118" t="s">
        <v>25</v>
      </c>
      <c r="I118" s="4">
        <f t="shared" si="1"/>
        <v>0</v>
      </c>
    </row>
    <row r="119" spans="1:9" x14ac:dyDescent="0.25">
      <c r="A119" s="2">
        <v>45083</v>
      </c>
      <c r="B119" t="s">
        <v>995</v>
      </c>
      <c r="C119" s="4">
        <v>50000</v>
      </c>
      <c r="D119" s="10" t="s">
        <v>26</v>
      </c>
      <c r="F119" t="s">
        <v>25</v>
      </c>
      <c r="I119" s="4">
        <f t="shared" si="1"/>
        <v>0</v>
      </c>
    </row>
    <row r="120" spans="1:9" x14ac:dyDescent="0.25">
      <c r="A120" s="2">
        <v>45085</v>
      </c>
      <c r="B120" t="s">
        <v>1001</v>
      </c>
      <c r="C120" s="4">
        <v>27000</v>
      </c>
      <c r="D120" s="10" t="s">
        <v>26</v>
      </c>
      <c r="F120" t="s">
        <v>25</v>
      </c>
      <c r="I120" s="4">
        <f t="shared" si="1"/>
        <v>0</v>
      </c>
    </row>
    <row r="121" spans="1:9" x14ac:dyDescent="0.25">
      <c r="A121" s="2">
        <v>45086</v>
      </c>
      <c r="B121" t="s">
        <v>1001</v>
      </c>
      <c r="C121" s="4">
        <v>13500</v>
      </c>
      <c r="D121" s="10" t="s">
        <v>26</v>
      </c>
      <c r="F121" t="s">
        <v>25</v>
      </c>
      <c r="I121" s="4">
        <f t="shared" si="1"/>
        <v>0</v>
      </c>
    </row>
    <row r="122" spans="1:9" x14ac:dyDescent="0.25">
      <c r="A122" s="2">
        <v>45105</v>
      </c>
      <c r="B122" t="s">
        <v>1020</v>
      </c>
      <c r="C122" s="4">
        <v>11700</v>
      </c>
      <c r="D122" s="10" t="s">
        <v>26</v>
      </c>
      <c r="F122" t="s">
        <v>25</v>
      </c>
      <c r="I122" s="4">
        <f>IF(D122="PENDIENTE",C122,0)</f>
        <v>0</v>
      </c>
    </row>
    <row r="123" spans="1:9" x14ac:dyDescent="0.25">
      <c r="A123" s="2">
        <v>45112</v>
      </c>
      <c r="B123" t="s">
        <v>1027</v>
      </c>
      <c r="C123" s="4">
        <v>77000</v>
      </c>
      <c r="D123" s="10" t="s">
        <v>26</v>
      </c>
      <c r="F123" t="s">
        <v>25</v>
      </c>
      <c r="I123" s="4">
        <f t="shared" si="1"/>
        <v>0</v>
      </c>
    </row>
    <row r="124" spans="1:9" x14ac:dyDescent="0.25">
      <c r="A124" s="2">
        <v>45118</v>
      </c>
      <c r="B124" t="s">
        <v>1032</v>
      </c>
      <c r="C124" s="4">
        <v>15000</v>
      </c>
      <c r="D124" s="10" t="s">
        <v>26</v>
      </c>
      <c r="F124" t="s">
        <v>25</v>
      </c>
      <c r="I124" s="4">
        <f t="shared" si="1"/>
        <v>0</v>
      </c>
    </row>
    <row r="125" spans="1:9" x14ac:dyDescent="0.25">
      <c r="A125" s="2">
        <v>45118</v>
      </c>
      <c r="B125" t="s">
        <v>1037</v>
      </c>
      <c r="C125" s="4">
        <v>27000</v>
      </c>
      <c r="D125" s="10" t="s">
        <v>26</v>
      </c>
      <c r="F125" t="s">
        <v>229</v>
      </c>
      <c r="I125" s="4">
        <f t="shared" si="1"/>
        <v>0</v>
      </c>
    </row>
    <row r="126" spans="1:9" x14ac:dyDescent="0.25">
      <c r="A126" s="2">
        <v>45121</v>
      </c>
      <c r="B126" t="s">
        <v>1038</v>
      </c>
      <c r="C126" s="4">
        <v>40000</v>
      </c>
      <c r="D126" s="10" t="s">
        <v>26</v>
      </c>
      <c r="F126" t="s">
        <v>229</v>
      </c>
      <c r="I126" s="4">
        <f t="shared" si="1"/>
        <v>0</v>
      </c>
    </row>
    <row r="127" spans="1:9" x14ac:dyDescent="0.25">
      <c r="A127" s="2">
        <v>45127</v>
      </c>
      <c r="B127" t="s">
        <v>1044</v>
      </c>
      <c r="C127" s="4">
        <v>24000</v>
      </c>
      <c r="D127" s="10" t="s">
        <v>26</v>
      </c>
      <c r="F127" t="s">
        <v>25</v>
      </c>
      <c r="I127" s="4">
        <f t="shared" si="1"/>
        <v>0</v>
      </c>
    </row>
    <row r="128" spans="1:9" x14ac:dyDescent="0.25">
      <c r="A128" s="2"/>
      <c r="B128" t="s">
        <v>1055</v>
      </c>
      <c r="C128" s="4">
        <v>78000</v>
      </c>
      <c r="D128" s="10" t="s">
        <v>26</v>
      </c>
      <c r="F128" t="s">
        <v>25</v>
      </c>
      <c r="I128" s="4">
        <f t="shared" si="1"/>
        <v>0</v>
      </c>
    </row>
    <row r="129" spans="1:9" x14ac:dyDescent="0.25">
      <c r="A129" s="2"/>
      <c r="B129" t="s">
        <v>1056</v>
      </c>
      <c r="C129" s="4">
        <v>23000</v>
      </c>
      <c r="D129" s="10" t="s">
        <v>26</v>
      </c>
      <c r="F129" t="s">
        <v>25</v>
      </c>
      <c r="I129" s="4">
        <f t="shared" si="1"/>
        <v>0</v>
      </c>
    </row>
    <row r="130" spans="1:9" x14ac:dyDescent="0.25">
      <c r="B130" t="s">
        <v>1057</v>
      </c>
      <c r="C130" s="4">
        <v>35000</v>
      </c>
      <c r="D130" s="10" t="s">
        <v>26</v>
      </c>
      <c r="F130" t="s">
        <v>25</v>
      </c>
      <c r="I130" s="4">
        <f t="shared" si="1"/>
        <v>0</v>
      </c>
    </row>
    <row r="131" spans="1:9" x14ac:dyDescent="0.25">
      <c r="B131" t="s">
        <v>1058</v>
      </c>
      <c r="C131" s="4">
        <v>7000</v>
      </c>
      <c r="D131" s="10" t="s">
        <v>26</v>
      </c>
      <c r="F131" t="s">
        <v>25</v>
      </c>
      <c r="I131" s="4">
        <f t="shared" si="1"/>
        <v>0</v>
      </c>
    </row>
    <row r="132" spans="1:9" x14ac:dyDescent="0.25">
      <c r="A132" s="2">
        <v>45161</v>
      </c>
      <c r="B132" t="s">
        <v>1072</v>
      </c>
      <c r="C132" s="4">
        <v>63500</v>
      </c>
      <c r="D132" s="10" t="s">
        <v>26</v>
      </c>
      <c r="F132" t="s">
        <v>25</v>
      </c>
      <c r="I132" s="4">
        <f t="shared" si="1"/>
        <v>0</v>
      </c>
    </row>
    <row r="133" spans="1:9" x14ac:dyDescent="0.25">
      <c r="A133" s="2">
        <v>45166</v>
      </c>
      <c r="B133" t="s">
        <v>1074</v>
      </c>
      <c r="C133" s="4">
        <v>16000</v>
      </c>
      <c r="D133" s="10" t="s">
        <v>26</v>
      </c>
      <c r="F133" t="s">
        <v>25</v>
      </c>
      <c r="I133" s="4">
        <f t="shared" si="1"/>
        <v>0</v>
      </c>
    </row>
    <row r="134" spans="1:9" x14ac:dyDescent="0.25">
      <c r="A134" s="2">
        <v>45175</v>
      </c>
      <c r="B134" t="s">
        <v>1086</v>
      </c>
      <c r="C134" s="4">
        <v>30500</v>
      </c>
      <c r="D134" s="10" t="s">
        <v>26</v>
      </c>
      <c r="F134" t="s">
        <v>25</v>
      </c>
      <c r="I134" s="4">
        <f t="shared" si="1"/>
        <v>0</v>
      </c>
    </row>
    <row r="135" spans="1:9" x14ac:dyDescent="0.25">
      <c r="A135" s="2">
        <v>45175</v>
      </c>
      <c r="B135" t="s">
        <v>1084</v>
      </c>
      <c r="C135" s="4">
        <v>6000</v>
      </c>
      <c r="D135" s="10" t="s">
        <v>26</v>
      </c>
      <c r="F135" t="s">
        <v>25</v>
      </c>
      <c r="I135" s="4">
        <f t="shared" si="1"/>
        <v>0</v>
      </c>
    </row>
    <row r="136" spans="1:9" x14ac:dyDescent="0.25">
      <c r="A136" s="2">
        <v>45175</v>
      </c>
      <c r="B136" t="s">
        <v>1085</v>
      </c>
      <c r="C136" s="4">
        <v>10000</v>
      </c>
      <c r="D136" s="10" t="s">
        <v>26</v>
      </c>
      <c r="F136" t="s">
        <v>25</v>
      </c>
      <c r="I136" s="4">
        <f t="shared" si="1"/>
        <v>0</v>
      </c>
    </row>
    <row r="137" spans="1:9" x14ac:dyDescent="0.25">
      <c r="B137" t="s">
        <v>1093</v>
      </c>
      <c r="C137" s="4">
        <v>30000</v>
      </c>
      <c r="D137" s="10" t="s">
        <v>26</v>
      </c>
      <c r="F137" t="s">
        <v>25</v>
      </c>
      <c r="I137" s="4">
        <f t="shared" si="1"/>
        <v>0</v>
      </c>
    </row>
    <row r="138" spans="1:9" x14ac:dyDescent="0.25">
      <c r="A138" s="2">
        <v>45182</v>
      </c>
      <c r="B138" t="s">
        <v>1096</v>
      </c>
      <c r="C138" s="4">
        <v>15000</v>
      </c>
      <c r="D138" s="10" t="s">
        <v>26</v>
      </c>
      <c r="F138" t="s">
        <v>25</v>
      </c>
      <c r="I138" s="4">
        <f t="shared" si="1"/>
        <v>0</v>
      </c>
    </row>
    <row r="139" spans="1:9" x14ac:dyDescent="0.25">
      <c r="A139" s="2">
        <v>45191</v>
      </c>
      <c r="B139" t="s">
        <v>1101</v>
      </c>
      <c r="C139" s="4">
        <v>13000</v>
      </c>
      <c r="D139" s="10" t="s">
        <v>26</v>
      </c>
      <c r="F139" t="s">
        <v>25</v>
      </c>
      <c r="I139" s="4">
        <f t="shared" si="1"/>
        <v>0</v>
      </c>
    </row>
    <row r="140" spans="1:9" x14ac:dyDescent="0.25">
      <c r="A140" s="2">
        <v>45191</v>
      </c>
      <c r="B140" t="s">
        <v>1102</v>
      </c>
      <c r="C140" s="4">
        <v>10000</v>
      </c>
      <c r="D140" s="10" t="s">
        <v>26</v>
      </c>
      <c r="F140" t="s">
        <v>25</v>
      </c>
      <c r="I140" s="4">
        <f t="shared" si="1"/>
        <v>0</v>
      </c>
    </row>
    <row r="141" spans="1:9" x14ac:dyDescent="0.25">
      <c r="A141" s="2">
        <v>45198</v>
      </c>
      <c r="B141" t="s">
        <v>1108</v>
      </c>
      <c r="C141" s="4">
        <v>78000</v>
      </c>
      <c r="D141" s="10" t="s">
        <v>26</v>
      </c>
      <c r="F141" t="s">
        <v>25</v>
      </c>
      <c r="I141" s="4">
        <f t="shared" si="1"/>
        <v>0</v>
      </c>
    </row>
    <row r="142" spans="1:9" x14ac:dyDescent="0.25">
      <c r="B142" t="s">
        <v>1111</v>
      </c>
      <c r="C142" s="4">
        <v>10000</v>
      </c>
      <c r="D142" s="10" t="s">
        <v>26</v>
      </c>
      <c r="F142" t="s">
        <v>25</v>
      </c>
      <c r="I142" s="4">
        <f t="shared" si="1"/>
        <v>0</v>
      </c>
    </row>
    <row r="143" spans="1:9" x14ac:dyDescent="0.25">
      <c r="B143" t="s">
        <v>1112</v>
      </c>
      <c r="C143" s="4">
        <v>10000</v>
      </c>
      <c r="D143" s="10" t="s">
        <v>26</v>
      </c>
      <c r="F143" t="s">
        <v>25</v>
      </c>
      <c r="I143" s="4">
        <f t="shared" si="1"/>
        <v>0</v>
      </c>
    </row>
    <row r="144" spans="1:9" x14ac:dyDescent="0.25">
      <c r="A144" s="2">
        <v>45223</v>
      </c>
      <c r="B144" t="s">
        <v>1138</v>
      </c>
      <c r="C144" s="4">
        <v>42000</v>
      </c>
      <c r="D144" s="10" t="s">
        <v>26</v>
      </c>
      <c r="F144" t="s">
        <v>25</v>
      </c>
      <c r="I144" s="4">
        <f t="shared" si="1"/>
        <v>0</v>
      </c>
    </row>
    <row r="145" spans="1:9" x14ac:dyDescent="0.25">
      <c r="A145" s="2">
        <v>45225</v>
      </c>
      <c r="B145" t="s">
        <v>1143</v>
      </c>
      <c r="C145" s="4">
        <v>9000</v>
      </c>
      <c r="D145" s="10" t="s">
        <v>26</v>
      </c>
      <c r="E145" t="s">
        <v>27</v>
      </c>
      <c r="F145" t="s">
        <v>25</v>
      </c>
      <c r="I145" s="4">
        <f t="shared" si="1"/>
        <v>0</v>
      </c>
    </row>
    <row r="146" spans="1:9" x14ac:dyDescent="0.25">
      <c r="A146" s="2">
        <v>45230</v>
      </c>
      <c r="B146" t="s">
        <v>1148</v>
      </c>
      <c r="C146" s="4">
        <v>90000</v>
      </c>
      <c r="D146" s="10" t="s">
        <v>157</v>
      </c>
      <c r="E146" t="s">
        <v>158</v>
      </c>
      <c r="I146" s="4">
        <f t="shared" si="1"/>
        <v>0</v>
      </c>
    </row>
    <row r="147" spans="1:9" x14ac:dyDescent="0.25">
      <c r="A147" s="2">
        <v>45236</v>
      </c>
      <c r="B147" t="s">
        <v>1155</v>
      </c>
      <c r="C147" s="4">
        <v>45000</v>
      </c>
      <c r="D147" s="10" t="s">
        <v>26</v>
      </c>
      <c r="E147" t="s">
        <v>1156</v>
      </c>
      <c r="I147" s="4">
        <f t="shared" si="1"/>
        <v>0</v>
      </c>
    </row>
    <row r="148" spans="1:9" x14ac:dyDescent="0.25">
      <c r="A148" s="2">
        <v>45240</v>
      </c>
      <c r="B148" t="s">
        <v>1160</v>
      </c>
      <c r="C148" s="4">
        <v>10000</v>
      </c>
      <c r="D148" s="10" t="s">
        <v>26</v>
      </c>
      <c r="I148" s="4">
        <f t="shared" si="1"/>
        <v>0</v>
      </c>
    </row>
    <row r="149" spans="1:9" x14ac:dyDescent="0.25">
      <c r="A149" s="2">
        <v>45244</v>
      </c>
      <c r="B149" t="s">
        <v>1161</v>
      </c>
      <c r="C149" s="4">
        <v>167000</v>
      </c>
      <c r="D149" s="10" t="s">
        <v>26</v>
      </c>
      <c r="E149" t="s">
        <v>27</v>
      </c>
      <c r="I149" s="4">
        <f t="shared" si="1"/>
        <v>0</v>
      </c>
    </row>
    <row r="150" spans="1:9" x14ac:dyDescent="0.25">
      <c r="A150" s="2">
        <v>45251</v>
      </c>
      <c r="B150" t="s">
        <v>1164</v>
      </c>
      <c r="C150" s="4">
        <v>14000</v>
      </c>
      <c r="D150" s="10" t="s">
        <v>26</v>
      </c>
      <c r="I150" s="4">
        <f t="shared" si="1"/>
        <v>0</v>
      </c>
    </row>
    <row r="151" spans="1:9" x14ac:dyDescent="0.25">
      <c r="A151" s="2">
        <v>45251</v>
      </c>
      <c r="B151" t="s">
        <v>1165</v>
      </c>
      <c r="C151" s="4">
        <v>14000</v>
      </c>
      <c r="D151" s="10" t="s">
        <v>26</v>
      </c>
      <c r="I151" s="4">
        <f t="shared" si="1"/>
        <v>0</v>
      </c>
    </row>
    <row r="152" spans="1:9" x14ac:dyDescent="0.25">
      <c r="A152" s="2">
        <v>45252</v>
      </c>
      <c r="B152" t="s">
        <v>1166</v>
      </c>
      <c r="C152" s="4">
        <v>10000</v>
      </c>
      <c r="D152" s="10" t="s">
        <v>26</v>
      </c>
      <c r="I152" s="4">
        <f t="shared" si="1"/>
        <v>0</v>
      </c>
    </row>
    <row r="153" spans="1:9" x14ac:dyDescent="0.25">
      <c r="A153" s="2">
        <v>45253</v>
      </c>
      <c r="B153" t="s">
        <v>1170</v>
      </c>
      <c r="C153" s="4">
        <v>10000</v>
      </c>
      <c r="D153" s="10" t="s">
        <v>26</v>
      </c>
      <c r="I153" s="4">
        <f t="shared" si="1"/>
        <v>0</v>
      </c>
    </row>
    <row r="154" spans="1:9" x14ac:dyDescent="0.25">
      <c r="A154" s="2">
        <v>45271</v>
      </c>
      <c r="B154" t="s">
        <v>1191</v>
      </c>
      <c r="C154" s="4">
        <v>40000</v>
      </c>
      <c r="D154" s="10" t="s">
        <v>26</v>
      </c>
      <c r="I154" s="4">
        <f t="shared" si="1"/>
        <v>0</v>
      </c>
    </row>
    <row r="155" spans="1:9" x14ac:dyDescent="0.25">
      <c r="A155" s="2">
        <v>45271</v>
      </c>
      <c r="B155" t="s">
        <v>1192</v>
      </c>
      <c r="C155" s="4">
        <v>7500</v>
      </c>
      <c r="D155" s="10" t="s">
        <v>26</v>
      </c>
      <c r="I155" s="4">
        <f t="shared" ref="I155:I217" si="2">IF(D155="PENDIENTE",C155,0)</f>
        <v>0</v>
      </c>
    </row>
    <row r="156" spans="1:9" x14ac:dyDescent="0.25">
      <c r="A156" s="2">
        <v>45272</v>
      </c>
      <c r="B156" t="s">
        <v>1193</v>
      </c>
      <c r="C156" s="4">
        <v>41400</v>
      </c>
      <c r="D156" s="10" t="s">
        <v>26</v>
      </c>
      <c r="I156" s="4">
        <f t="shared" si="2"/>
        <v>0</v>
      </c>
    </row>
    <row r="157" spans="1:9" x14ac:dyDescent="0.25">
      <c r="A157" s="2">
        <v>45272</v>
      </c>
      <c r="B157" t="s">
        <v>1205</v>
      </c>
      <c r="C157" s="4">
        <v>29100</v>
      </c>
      <c r="D157" s="10" t="s">
        <v>26</v>
      </c>
      <c r="I157" s="4">
        <f t="shared" si="2"/>
        <v>0</v>
      </c>
    </row>
    <row r="158" spans="1:9" x14ac:dyDescent="0.25">
      <c r="A158" s="2">
        <v>45274</v>
      </c>
      <c r="B158" t="s">
        <v>1197</v>
      </c>
      <c r="C158" s="4">
        <v>75000</v>
      </c>
      <c r="D158" s="10" t="s">
        <v>26</v>
      </c>
      <c r="I158" s="4">
        <f t="shared" si="2"/>
        <v>0</v>
      </c>
    </row>
    <row r="159" spans="1:9" x14ac:dyDescent="0.25">
      <c r="A159" s="2">
        <v>45275</v>
      </c>
      <c r="B159" t="s">
        <v>1199</v>
      </c>
      <c r="C159" s="4">
        <v>26000</v>
      </c>
      <c r="D159" s="10" t="s">
        <v>26</v>
      </c>
      <c r="I159" s="4">
        <f t="shared" si="2"/>
        <v>0</v>
      </c>
    </row>
    <row r="160" spans="1:9" x14ac:dyDescent="0.25">
      <c r="A160" s="2">
        <v>45286</v>
      </c>
      <c r="B160" t="s">
        <v>1207</v>
      </c>
      <c r="C160" s="4">
        <v>13500</v>
      </c>
      <c r="D160" s="10" t="s">
        <v>26</v>
      </c>
      <c r="I160" s="4">
        <f t="shared" si="2"/>
        <v>0</v>
      </c>
    </row>
    <row r="161" spans="1:9" x14ac:dyDescent="0.25">
      <c r="A161" s="2">
        <v>45288</v>
      </c>
      <c r="B161" t="s">
        <v>1209</v>
      </c>
      <c r="C161" s="4">
        <v>65000</v>
      </c>
      <c r="D161" s="10" t="s">
        <v>364</v>
      </c>
      <c r="I161" s="4">
        <f t="shared" si="2"/>
        <v>65000</v>
      </c>
    </row>
    <row r="162" spans="1:9" x14ac:dyDescent="0.25">
      <c r="A162" s="2">
        <v>44938</v>
      </c>
      <c r="B162" t="s">
        <v>1218</v>
      </c>
      <c r="C162" s="4">
        <v>31000</v>
      </c>
      <c r="D162" s="10" t="s">
        <v>364</v>
      </c>
      <c r="I162" s="4">
        <f t="shared" si="2"/>
        <v>31000</v>
      </c>
    </row>
    <row r="163" spans="1:9" x14ac:dyDescent="0.25">
      <c r="A163" s="2">
        <v>45309</v>
      </c>
      <c r="B163" t="s">
        <v>1229</v>
      </c>
      <c r="C163" s="4">
        <v>30000</v>
      </c>
      <c r="D163" s="10" t="s">
        <v>157</v>
      </c>
      <c r="I163" s="4">
        <f t="shared" si="2"/>
        <v>0</v>
      </c>
    </row>
    <row r="164" spans="1:9" x14ac:dyDescent="0.25">
      <c r="A164" s="2">
        <v>45315</v>
      </c>
      <c r="B164" t="s">
        <v>1228</v>
      </c>
      <c r="C164" s="4">
        <v>40000</v>
      </c>
      <c r="D164" s="10" t="s">
        <v>157</v>
      </c>
      <c r="I164" s="4">
        <f t="shared" si="2"/>
        <v>0</v>
      </c>
    </row>
    <row r="165" spans="1:9" x14ac:dyDescent="0.25">
      <c r="A165" s="2">
        <v>45315</v>
      </c>
      <c r="B165" t="s">
        <v>1235</v>
      </c>
      <c r="C165" s="4">
        <v>26000</v>
      </c>
      <c r="D165" s="10" t="s">
        <v>26</v>
      </c>
      <c r="I165" s="4">
        <f t="shared" si="2"/>
        <v>0</v>
      </c>
    </row>
    <row r="166" spans="1:9" x14ac:dyDescent="0.25">
      <c r="A166" s="2">
        <v>45317</v>
      </c>
      <c r="B166" t="s">
        <v>1230</v>
      </c>
      <c r="C166" s="4">
        <v>73500</v>
      </c>
      <c r="D166" s="10" t="s">
        <v>26</v>
      </c>
      <c r="I166" s="4">
        <f t="shared" si="2"/>
        <v>0</v>
      </c>
    </row>
    <row r="167" spans="1:9" x14ac:dyDescent="0.25">
      <c r="A167" s="2">
        <v>45320</v>
      </c>
      <c r="B167" t="s">
        <v>1231</v>
      </c>
      <c r="C167" s="4">
        <v>40000</v>
      </c>
      <c r="D167" s="10" t="s">
        <v>26</v>
      </c>
      <c r="I167" s="4">
        <f t="shared" si="2"/>
        <v>0</v>
      </c>
    </row>
    <row r="168" spans="1:9" x14ac:dyDescent="0.25">
      <c r="A168" s="2">
        <v>45320</v>
      </c>
      <c r="B168" t="s">
        <v>1232</v>
      </c>
      <c r="C168" s="4">
        <v>25000</v>
      </c>
      <c r="D168" s="10" t="s">
        <v>26</v>
      </c>
      <c r="I168" s="4">
        <f t="shared" si="2"/>
        <v>0</v>
      </c>
    </row>
    <row r="169" spans="1:9" x14ac:dyDescent="0.25">
      <c r="A169" s="2">
        <v>45328</v>
      </c>
      <c r="B169" t="s">
        <v>1242</v>
      </c>
      <c r="C169" s="4">
        <v>18000</v>
      </c>
      <c r="D169" s="10" t="s">
        <v>26</v>
      </c>
      <c r="I169" s="4">
        <f t="shared" si="2"/>
        <v>0</v>
      </c>
    </row>
    <row r="170" spans="1:9" x14ac:dyDescent="0.25">
      <c r="A170" s="2">
        <v>45328</v>
      </c>
      <c r="B170" t="s">
        <v>1243</v>
      </c>
      <c r="C170" s="4">
        <v>15000</v>
      </c>
      <c r="D170" s="10" t="s">
        <v>26</v>
      </c>
      <c r="I170" s="4">
        <f t="shared" si="2"/>
        <v>0</v>
      </c>
    </row>
    <row r="171" spans="1:9" x14ac:dyDescent="0.25">
      <c r="A171" s="2">
        <v>45330</v>
      </c>
      <c r="B171" t="s">
        <v>1246</v>
      </c>
      <c r="C171" s="4">
        <v>21000</v>
      </c>
      <c r="D171" s="10" t="s">
        <v>364</v>
      </c>
      <c r="I171" s="4">
        <f t="shared" si="2"/>
        <v>21000</v>
      </c>
    </row>
    <row r="172" spans="1:9" x14ac:dyDescent="0.25">
      <c r="A172" s="2">
        <v>45345</v>
      </c>
      <c r="B172" t="s">
        <v>1262</v>
      </c>
      <c r="C172" s="4">
        <v>70000</v>
      </c>
      <c r="D172" s="10" t="s">
        <v>26</v>
      </c>
      <c r="I172" s="4">
        <f t="shared" si="2"/>
        <v>0</v>
      </c>
    </row>
    <row r="173" spans="1:9" x14ac:dyDescent="0.25">
      <c r="A173" s="2">
        <v>45345</v>
      </c>
      <c r="B173" t="s">
        <v>1263</v>
      </c>
      <c r="C173" s="4">
        <v>1500</v>
      </c>
      <c r="D173" s="10" t="s">
        <v>26</v>
      </c>
      <c r="I173" s="4">
        <f t="shared" si="2"/>
        <v>0</v>
      </c>
    </row>
    <row r="174" spans="1:9" x14ac:dyDescent="0.25">
      <c r="A174" s="2">
        <v>45345</v>
      </c>
      <c r="B174" t="s">
        <v>1266</v>
      </c>
      <c r="C174" s="4">
        <v>18000</v>
      </c>
      <c r="D174" s="10" t="s">
        <v>26</v>
      </c>
      <c r="I174" s="4">
        <f t="shared" si="2"/>
        <v>0</v>
      </c>
    </row>
    <row r="175" spans="1:9" x14ac:dyDescent="0.25">
      <c r="A175" s="2">
        <v>45348</v>
      </c>
      <c r="B175" t="s">
        <v>1267</v>
      </c>
      <c r="C175" s="4">
        <v>48000</v>
      </c>
      <c r="D175" s="10" t="s">
        <v>26</v>
      </c>
      <c r="I175" s="4">
        <f t="shared" si="2"/>
        <v>0</v>
      </c>
    </row>
    <row r="176" spans="1:9" x14ac:dyDescent="0.25">
      <c r="A176" s="2">
        <v>45348</v>
      </c>
      <c r="B176" t="s">
        <v>1268</v>
      </c>
      <c r="C176" s="4">
        <v>85000</v>
      </c>
      <c r="D176" s="10" t="s">
        <v>26</v>
      </c>
      <c r="I176" s="4">
        <f t="shared" si="2"/>
        <v>0</v>
      </c>
    </row>
    <row r="177" spans="1:9" x14ac:dyDescent="0.25">
      <c r="A177" s="2">
        <v>45355</v>
      </c>
      <c r="B177" t="s">
        <v>1276</v>
      </c>
      <c r="C177" s="4">
        <v>3000</v>
      </c>
      <c r="D177" s="10" t="s">
        <v>26</v>
      </c>
      <c r="I177" s="4">
        <f t="shared" si="2"/>
        <v>0</v>
      </c>
    </row>
    <row r="178" spans="1:9" x14ac:dyDescent="0.25">
      <c r="A178" s="2">
        <v>45363</v>
      </c>
      <c r="B178" t="s">
        <v>1283</v>
      </c>
      <c r="C178" s="4">
        <v>40000</v>
      </c>
      <c r="D178" s="10" t="s">
        <v>7</v>
      </c>
      <c r="I178" s="4">
        <f t="shared" si="2"/>
        <v>40000</v>
      </c>
    </row>
    <row r="179" spans="1:9" x14ac:dyDescent="0.25">
      <c r="A179" s="2">
        <v>45365</v>
      </c>
      <c r="B179" t="s">
        <v>1286</v>
      </c>
      <c r="C179" s="4">
        <v>28000</v>
      </c>
      <c r="D179" s="10" t="s">
        <v>26</v>
      </c>
      <c r="I179" s="4">
        <f t="shared" si="2"/>
        <v>0</v>
      </c>
    </row>
    <row r="180" spans="1:9" x14ac:dyDescent="0.25">
      <c r="A180" s="2">
        <v>45385</v>
      </c>
      <c r="B180" t="s">
        <v>1293</v>
      </c>
      <c r="C180" s="4">
        <v>77000</v>
      </c>
      <c r="D180" s="10" t="s">
        <v>26</v>
      </c>
      <c r="I180" s="4">
        <f t="shared" si="2"/>
        <v>0</v>
      </c>
    </row>
    <row r="181" spans="1:9" x14ac:dyDescent="0.25">
      <c r="A181" s="2">
        <v>45385</v>
      </c>
      <c r="B181" t="s">
        <v>1294</v>
      </c>
      <c r="C181" s="4">
        <v>14000</v>
      </c>
      <c r="D181" s="10" t="s">
        <v>26</v>
      </c>
      <c r="I181" s="4">
        <f t="shared" si="2"/>
        <v>0</v>
      </c>
    </row>
    <row r="182" spans="1:9" x14ac:dyDescent="0.25">
      <c r="A182" s="2">
        <v>45387</v>
      </c>
      <c r="B182" t="s">
        <v>1299</v>
      </c>
      <c r="C182" s="4">
        <v>70000</v>
      </c>
      <c r="D182" s="10" t="s">
        <v>26</v>
      </c>
      <c r="I182" s="4">
        <f t="shared" si="2"/>
        <v>0</v>
      </c>
    </row>
    <row r="183" spans="1:9" x14ac:dyDescent="0.25">
      <c r="A183" s="2">
        <v>45387</v>
      </c>
      <c r="B183" t="s">
        <v>1301</v>
      </c>
      <c r="C183" s="4">
        <v>35000</v>
      </c>
      <c r="D183" s="10" t="s">
        <v>26</v>
      </c>
      <c r="I183" s="4">
        <f t="shared" si="2"/>
        <v>0</v>
      </c>
    </row>
    <row r="184" spans="1:9" x14ac:dyDescent="0.25">
      <c r="A184" s="2">
        <v>45390</v>
      </c>
      <c r="B184" t="s">
        <v>1302</v>
      </c>
      <c r="C184" s="4">
        <v>50000</v>
      </c>
      <c r="D184" s="10" t="s">
        <v>26</v>
      </c>
      <c r="I184" s="4">
        <f t="shared" si="2"/>
        <v>0</v>
      </c>
    </row>
    <row r="185" spans="1:9" x14ac:dyDescent="0.25">
      <c r="A185" s="2">
        <v>45390</v>
      </c>
      <c r="B185" t="s">
        <v>1303</v>
      </c>
      <c r="C185" s="4">
        <v>10000</v>
      </c>
      <c r="D185" s="10" t="s">
        <v>26</v>
      </c>
      <c r="I185" s="4">
        <f t="shared" si="2"/>
        <v>0</v>
      </c>
    </row>
    <row r="186" spans="1:9" x14ac:dyDescent="0.25">
      <c r="A186" s="2">
        <v>45391</v>
      </c>
      <c r="B186" t="s">
        <v>659</v>
      </c>
      <c r="C186" s="4">
        <v>12000</v>
      </c>
      <c r="D186" s="10" t="s">
        <v>26</v>
      </c>
      <c r="I186" s="4">
        <f t="shared" si="2"/>
        <v>0</v>
      </c>
    </row>
    <row r="187" spans="1:9" x14ac:dyDescent="0.25">
      <c r="A187" s="2">
        <v>45397</v>
      </c>
      <c r="B187" t="s">
        <v>1308</v>
      </c>
      <c r="C187" s="4">
        <v>66000</v>
      </c>
      <c r="D187" s="10" t="s">
        <v>26</v>
      </c>
      <c r="E187" t="s">
        <v>1323</v>
      </c>
      <c r="I187" s="4">
        <f t="shared" si="2"/>
        <v>0</v>
      </c>
    </row>
    <row r="188" spans="1:9" x14ac:dyDescent="0.25">
      <c r="A188" s="2">
        <v>45404</v>
      </c>
      <c r="B188" t="s">
        <v>1315</v>
      </c>
      <c r="C188" s="4">
        <v>63000</v>
      </c>
      <c r="D188" s="10" t="s">
        <v>26</v>
      </c>
      <c r="I188" s="4">
        <f t="shared" si="2"/>
        <v>0</v>
      </c>
    </row>
    <row r="189" spans="1:9" x14ac:dyDescent="0.25">
      <c r="A189" s="2">
        <v>45406</v>
      </c>
      <c r="B189" t="s">
        <v>1318</v>
      </c>
      <c r="C189" s="4">
        <v>12000</v>
      </c>
      <c r="D189" s="10" t="s">
        <v>26</v>
      </c>
      <c r="I189" s="4">
        <f t="shared" si="2"/>
        <v>0</v>
      </c>
    </row>
    <row r="190" spans="1:9" x14ac:dyDescent="0.25">
      <c r="A190" s="2">
        <v>45412</v>
      </c>
      <c r="B190" t="s">
        <v>1324</v>
      </c>
      <c r="C190" s="4">
        <v>52000</v>
      </c>
      <c r="D190" s="10" t="s">
        <v>26</v>
      </c>
      <c r="I190" s="4">
        <f t="shared" si="2"/>
        <v>0</v>
      </c>
    </row>
    <row r="191" spans="1:9" x14ac:dyDescent="0.25">
      <c r="A191" s="2">
        <v>45422</v>
      </c>
      <c r="B191" t="s">
        <v>875</v>
      </c>
      <c r="C191" s="4">
        <v>10000</v>
      </c>
      <c r="D191" s="10" t="s">
        <v>26</v>
      </c>
      <c r="I191" s="4">
        <f t="shared" si="2"/>
        <v>0</v>
      </c>
    </row>
    <row r="192" spans="1:9" x14ac:dyDescent="0.25">
      <c r="A192" s="2">
        <v>45427</v>
      </c>
      <c r="B192" t="s">
        <v>1331</v>
      </c>
      <c r="C192" s="4">
        <v>40000</v>
      </c>
      <c r="D192" s="10" t="s">
        <v>26</v>
      </c>
      <c r="I192" s="4">
        <f t="shared" si="2"/>
        <v>0</v>
      </c>
    </row>
    <row r="193" spans="1:9" x14ac:dyDescent="0.25">
      <c r="A193" s="2">
        <v>45427</v>
      </c>
      <c r="B193" t="s">
        <v>1332</v>
      </c>
      <c r="C193" s="4">
        <v>18000</v>
      </c>
      <c r="D193" s="10" t="s">
        <v>26</v>
      </c>
      <c r="I193" s="4">
        <f t="shared" si="2"/>
        <v>0</v>
      </c>
    </row>
    <row r="194" spans="1:9" x14ac:dyDescent="0.25">
      <c r="A194" s="2">
        <v>45428</v>
      </c>
      <c r="B194" t="s">
        <v>1333</v>
      </c>
      <c r="C194" s="4">
        <v>16000</v>
      </c>
      <c r="D194" s="10" t="s">
        <v>157</v>
      </c>
      <c r="I194" s="4">
        <f t="shared" si="2"/>
        <v>0</v>
      </c>
    </row>
    <row r="195" spans="1:9" x14ac:dyDescent="0.25">
      <c r="A195" s="2">
        <v>45429</v>
      </c>
      <c r="B195" t="s">
        <v>1335</v>
      </c>
      <c r="C195" s="4">
        <v>130000</v>
      </c>
      <c r="D195" s="10" t="s">
        <v>26</v>
      </c>
      <c r="I195" s="4">
        <f t="shared" si="2"/>
        <v>0</v>
      </c>
    </row>
    <row r="196" spans="1:9" x14ac:dyDescent="0.25">
      <c r="A196" s="2">
        <v>45439</v>
      </c>
      <c r="B196" t="s">
        <v>1342</v>
      </c>
      <c r="C196" s="4">
        <v>29000</v>
      </c>
      <c r="D196" s="10" t="s">
        <v>26</v>
      </c>
      <c r="I196" s="4">
        <f t="shared" si="2"/>
        <v>0</v>
      </c>
    </row>
    <row r="197" spans="1:9" x14ac:dyDescent="0.25">
      <c r="A197" s="2">
        <v>45439</v>
      </c>
      <c r="B197" t="s">
        <v>1343</v>
      </c>
      <c r="C197" s="4">
        <v>15000</v>
      </c>
      <c r="D197" s="10" t="s">
        <v>26</v>
      </c>
      <c r="I197" s="4">
        <f t="shared" si="2"/>
        <v>0</v>
      </c>
    </row>
    <row r="198" spans="1:9" x14ac:dyDescent="0.25">
      <c r="A198" s="2">
        <v>45446</v>
      </c>
      <c r="B198" t="s">
        <v>1352</v>
      </c>
      <c r="C198" s="4">
        <v>10000</v>
      </c>
      <c r="D198" s="10" t="s">
        <v>26</v>
      </c>
      <c r="I198" s="4">
        <f t="shared" si="2"/>
        <v>0</v>
      </c>
    </row>
    <row r="199" spans="1:9" x14ac:dyDescent="0.25">
      <c r="A199" s="2">
        <v>45446</v>
      </c>
      <c r="B199" t="s">
        <v>1355</v>
      </c>
      <c r="C199" s="4">
        <v>30000</v>
      </c>
      <c r="D199" s="10" t="s">
        <v>364</v>
      </c>
      <c r="I199" s="4">
        <f t="shared" si="2"/>
        <v>30000</v>
      </c>
    </row>
    <row r="200" spans="1:9" x14ac:dyDescent="0.25">
      <c r="A200" s="2">
        <v>45447</v>
      </c>
      <c r="B200" t="s">
        <v>1357</v>
      </c>
      <c r="C200" s="4">
        <v>4500</v>
      </c>
      <c r="D200" s="10" t="s">
        <v>26</v>
      </c>
      <c r="I200" s="4">
        <f t="shared" si="2"/>
        <v>0</v>
      </c>
    </row>
    <row r="201" spans="1:9" x14ac:dyDescent="0.25">
      <c r="A201" s="2">
        <v>45447</v>
      </c>
      <c r="B201" t="s">
        <v>1358</v>
      </c>
      <c r="C201" s="4">
        <v>38000</v>
      </c>
      <c r="D201" s="10" t="s">
        <v>26</v>
      </c>
      <c r="E201" t="s">
        <v>1373</v>
      </c>
      <c r="I201" s="4">
        <f t="shared" si="2"/>
        <v>0</v>
      </c>
    </row>
    <row r="202" spans="1:9" x14ac:dyDescent="0.25">
      <c r="A202" s="2">
        <v>45455</v>
      </c>
      <c r="B202" t="s">
        <v>1363</v>
      </c>
      <c r="C202" s="4">
        <v>33000</v>
      </c>
      <c r="D202" s="10" t="s">
        <v>26</v>
      </c>
      <c r="I202" s="4">
        <f t="shared" si="2"/>
        <v>0</v>
      </c>
    </row>
    <row r="203" spans="1:9" x14ac:dyDescent="0.25">
      <c r="A203" s="2">
        <v>45455</v>
      </c>
      <c r="B203" t="s">
        <v>1364</v>
      </c>
      <c r="C203" s="4">
        <v>32000</v>
      </c>
      <c r="D203" s="10" t="s">
        <v>26</v>
      </c>
      <c r="E203" t="s">
        <v>1373</v>
      </c>
      <c r="I203" s="4">
        <f t="shared" si="2"/>
        <v>0</v>
      </c>
    </row>
    <row r="204" spans="1:9" x14ac:dyDescent="0.25">
      <c r="A204" s="2">
        <v>45455</v>
      </c>
      <c r="B204" t="s">
        <v>1365</v>
      </c>
      <c r="C204" s="4">
        <v>16000</v>
      </c>
      <c r="D204" s="10" t="s">
        <v>157</v>
      </c>
      <c r="I204" s="4">
        <f t="shared" si="2"/>
        <v>0</v>
      </c>
    </row>
    <row r="205" spans="1:9" x14ac:dyDescent="0.25">
      <c r="A205" s="2">
        <v>45460</v>
      </c>
      <c r="B205" t="s">
        <v>1372</v>
      </c>
      <c r="C205" s="4">
        <v>98000</v>
      </c>
      <c r="D205" s="10" t="s">
        <v>157</v>
      </c>
      <c r="E205" t="s">
        <v>1373</v>
      </c>
      <c r="I205" s="4">
        <f t="shared" si="2"/>
        <v>0</v>
      </c>
    </row>
    <row r="206" spans="1:9" x14ac:dyDescent="0.25">
      <c r="A206" s="2">
        <v>45468</v>
      </c>
      <c r="B206" t="s">
        <v>1378</v>
      </c>
      <c r="C206" s="4">
        <v>30000</v>
      </c>
      <c r="D206" s="10" t="s">
        <v>26</v>
      </c>
      <c r="E206" t="s">
        <v>1373</v>
      </c>
      <c r="I206" s="4">
        <f t="shared" si="2"/>
        <v>0</v>
      </c>
    </row>
    <row r="207" spans="1:9" x14ac:dyDescent="0.25">
      <c r="A207" s="2">
        <v>45470</v>
      </c>
      <c r="B207" t="s">
        <v>1381</v>
      </c>
      <c r="C207" s="4">
        <v>42000</v>
      </c>
      <c r="D207" s="10" t="s">
        <v>26</v>
      </c>
      <c r="E207" t="s">
        <v>1373</v>
      </c>
      <c r="I207" s="4">
        <f t="shared" si="2"/>
        <v>0</v>
      </c>
    </row>
    <row r="208" spans="1:9" x14ac:dyDescent="0.25">
      <c r="A208" s="2">
        <v>45476</v>
      </c>
      <c r="B208" t="s">
        <v>1384</v>
      </c>
      <c r="C208" s="4">
        <v>14000</v>
      </c>
      <c r="D208" s="10" t="s">
        <v>26</v>
      </c>
      <c r="I208" s="4">
        <f t="shared" si="2"/>
        <v>0</v>
      </c>
    </row>
    <row r="209" spans="1:9" x14ac:dyDescent="0.25">
      <c r="A209" s="2">
        <v>45481</v>
      </c>
      <c r="B209" t="s">
        <v>1388</v>
      </c>
      <c r="C209" s="4">
        <v>12000</v>
      </c>
      <c r="D209" s="10" t="s">
        <v>364</v>
      </c>
      <c r="I209" s="4">
        <f t="shared" si="2"/>
        <v>12000</v>
      </c>
    </row>
    <row r="210" spans="1:9" x14ac:dyDescent="0.25">
      <c r="A210" s="2">
        <v>45482</v>
      </c>
      <c r="B210" t="s">
        <v>1393</v>
      </c>
      <c r="C210" s="4">
        <v>5000</v>
      </c>
      <c r="D210" s="10" t="s">
        <v>157</v>
      </c>
      <c r="E210" t="s">
        <v>1465</v>
      </c>
      <c r="I210" s="4">
        <f t="shared" si="2"/>
        <v>0</v>
      </c>
    </row>
    <row r="211" spans="1:9" x14ac:dyDescent="0.25">
      <c r="A211" s="2">
        <v>45482</v>
      </c>
      <c r="B211" t="s">
        <v>1394</v>
      </c>
      <c r="C211" s="4">
        <v>106000</v>
      </c>
      <c r="D211" s="10" t="s">
        <v>26</v>
      </c>
      <c r="E211" t="s">
        <v>1464</v>
      </c>
      <c r="I211" s="4">
        <f t="shared" si="2"/>
        <v>0</v>
      </c>
    </row>
    <row r="212" spans="1:9" x14ac:dyDescent="0.25">
      <c r="A212" s="2">
        <v>45484</v>
      </c>
      <c r="B212" t="s">
        <v>1395</v>
      </c>
      <c r="C212" s="4">
        <v>16000</v>
      </c>
      <c r="D212" s="10" t="s">
        <v>26</v>
      </c>
      <c r="I212" s="4">
        <f t="shared" si="2"/>
        <v>0</v>
      </c>
    </row>
    <row r="213" spans="1:9" x14ac:dyDescent="0.25">
      <c r="A213" s="2">
        <v>45484</v>
      </c>
      <c r="B213" t="s">
        <v>1397</v>
      </c>
      <c r="C213" s="4">
        <v>20000</v>
      </c>
      <c r="D213" s="10" t="s">
        <v>364</v>
      </c>
      <c r="I213" s="4">
        <f t="shared" si="2"/>
        <v>20000</v>
      </c>
    </row>
    <row r="214" spans="1:9" x14ac:dyDescent="0.25">
      <c r="A214" s="2">
        <v>45496</v>
      </c>
      <c r="B214" t="s">
        <v>1403</v>
      </c>
      <c r="C214" s="4">
        <v>8000</v>
      </c>
      <c r="D214" s="10" t="s">
        <v>364</v>
      </c>
      <c r="I214" s="4">
        <f t="shared" si="2"/>
        <v>8000</v>
      </c>
    </row>
    <row r="215" spans="1:9" x14ac:dyDescent="0.25">
      <c r="A215" s="2">
        <v>45498</v>
      </c>
      <c r="B215" t="s">
        <v>1410</v>
      </c>
      <c r="C215" s="4">
        <v>88000</v>
      </c>
      <c r="D215" s="10" t="s">
        <v>26</v>
      </c>
      <c r="E215" s="18">
        <v>45548</v>
      </c>
      <c r="I215" s="4">
        <f t="shared" si="2"/>
        <v>0</v>
      </c>
    </row>
    <row r="216" spans="1:9" x14ac:dyDescent="0.25">
      <c r="A216" s="2">
        <v>45502</v>
      </c>
      <c r="B216" t="s">
        <v>1406</v>
      </c>
      <c r="C216" s="4">
        <v>20000</v>
      </c>
      <c r="D216" s="10" t="s">
        <v>26</v>
      </c>
      <c r="I216" s="4">
        <f t="shared" si="2"/>
        <v>0</v>
      </c>
    </row>
    <row r="217" spans="1:9" x14ac:dyDescent="0.25">
      <c r="A217" s="2">
        <v>45499</v>
      </c>
      <c r="B217" t="s">
        <v>1407</v>
      </c>
      <c r="C217" s="4">
        <v>145000</v>
      </c>
      <c r="D217" s="10" t="s">
        <v>26</v>
      </c>
      <c r="I217" s="4">
        <f t="shared" si="2"/>
        <v>0</v>
      </c>
    </row>
    <row r="218" spans="1:9" x14ac:dyDescent="0.25">
      <c r="A218" s="2">
        <v>45511</v>
      </c>
      <c r="B218" t="s">
        <v>1434</v>
      </c>
      <c r="C218" s="4">
        <v>22500</v>
      </c>
      <c r="D218" s="10" t="s">
        <v>26</v>
      </c>
      <c r="E218" s="18">
        <v>45548</v>
      </c>
      <c r="I218" s="4">
        <f t="shared" ref="I218:I281" si="3">IF(D218="PENDIENTE",C218,0)</f>
        <v>0</v>
      </c>
    </row>
    <row r="219" spans="1:9" x14ac:dyDescent="0.25">
      <c r="A219" s="2">
        <v>45524</v>
      </c>
      <c r="B219" t="s">
        <v>1415</v>
      </c>
      <c r="C219" s="4">
        <v>45000</v>
      </c>
      <c r="D219" s="10" t="s">
        <v>26</v>
      </c>
      <c r="I219" s="4">
        <f t="shared" si="3"/>
        <v>0</v>
      </c>
    </row>
    <row r="220" spans="1:9" x14ac:dyDescent="0.25">
      <c r="A220" s="2">
        <v>45525</v>
      </c>
      <c r="B220" t="s">
        <v>1419</v>
      </c>
      <c r="C220" s="4">
        <v>40000</v>
      </c>
      <c r="D220" s="10" t="s">
        <v>26</v>
      </c>
      <c r="I220" s="4">
        <f t="shared" si="3"/>
        <v>0</v>
      </c>
    </row>
    <row r="221" spans="1:9" x14ac:dyDescent="0.25">
      <c r="A221" s="2">
        <v>45525</v>
      </c>
      <c r="B221" t="s">
        <v>1435</v>
      </c>
      <c r="C221" s="4">
        <v>9000</v>
      </c>
      <c r="D221" s="10" t="s">
        <v>26</v>
      </c>
      <c r="F221">
        <v>8899</v>
      </c>
      <c r="I221" s="4">
        <f t="shared" si="3"/>
        <v>0</v>
      </c>
    </row>
    <row r="222" spans="1:9" x14ac:dyDescent="0.25">
      <c r="A222" s="2">
        <v>45526</v>
      </c>
      <c r="B222" t="s">
        <v>1436</v>
      </c>
      <c r="C222" s="4">
        <v>27000</v>
      </c>
      <c r="D222" s="10" t="s">
        <v>364</v>
      </c>
      <c r="I222" s="4">
        <f t="shared" si="3"/>
        <v>27000</v>
      </c>
    </row>
    <row r="223" spans="1:9" x14ac:dyDescent="0.25">
      <c r="A223" s="2">
        <v>45532</v>
      </c>
      <c r="B223" t="s">
        <v>1422</v>
      </c>
      <c r="C223" s="4">
        <v>98000</v>
      </c>
      <c r="D223" s="10" t="s">
        <v>26</v>
      </c>
      <c r="I223" s="4">
        <f t="shared" si="3"/>
        <v>0</v>
      </c>
    </row>
    <row r="224" spans="1:9" x14ac:dyDescent="0.25">
      <c r="A224" s="2">
        <v>45508</v>
      </c>
      <c r="B224" t="s">
        <v>1437</v>
      </c>
      <c r="C224" s="4">
        <v>58000</v>
      </c>
      <c r="D224" s="10" t="s">
        <v>26</v>
      </c>
      <c r="E224" s="18">
        <v>45548</v>
      </c>
      <c r="I224" s="4">
        <f t="shared" si="3"/>
        <v>0</v>
      </c>
    </row>
    <row r="225" spans="1:9" x14ac:dyDescent="0.25">
      <c r="A225" s="2">
        <v>45540</v>
      </c>
      <c r="B225" t="s">
        <v>1428</v>
      </c>
      <c r="C225" s="4">
        <v>28000</v>
      </c>
      <c r="D225" s="10" t="s">
        <v>26</v>
      </c>
      <c r="I225" s="4">
        <f t="shared" si="3"/>
        <v>0</v>
      </c>
    </row>
    <row r="226" spans="1:9" x14ac:dyDescent="0.25">
      <c r="A226" s="2">
        <v>45540</v>
      </c>
      <c r="B226" t="s">
        <v>1439</v>
      </c>
      <c r="C226" s="4">
        <v>20000</v>
      </c>
      <c r="D226" s="10" t="s">
        <v>364</v>
      </c>
      <c r="I226" s="4">
        <f t="shared" si="3"/>
        <v>20000</v>
      </c>
    </row>
    <row r="227" spans="1:9" x14ac:dyDescent="0.25">
      <c r="A227" s="2">
        <v>45540</v>
      </c>
      <c r="B227" t="s">
        <v>1432</v>
      </c>
      <c r="C227" s="4">
        <v>57000</v>
      </c>
      <c r="D227" s="10" t="s">
        <v>26</v>
      </c>
      <c r="I227" s="4">
        <f t="shared" si="3"/>
        <v>0</v>
      </c>
    </row>
    <row r="228" spans="1:9" x14ac:dyDescent="0.25">
      <c r="A228" s="2">
        <v>45541</v>
      </c>
      <c r="B228" t="s">
        <v>1438</v>
      </c>
      <c r="C228" s="4">
        <v>80000</v>
      </c>
      <c r="D228" s="10" t="s">
        <v>364</v>
      </c>
      <c r="I228" s="4">
        <f t="shared" si="3"/>
        <v>80000</v>
      </c>
    </row>
    <row r="229" spans="1:9" x14ac:dyDescent="0.25">
      <c r="A229" s="2">
        <v>45560</v>
      </c>
      <c r="B229" t="s">
        <v>1443</v>
      </c>
      <c r="C229" s="4">
        <v>11000</v>
      </c>
      <c r="D229" s="10" t="s">
        <v>26</v>
      </c>
      <c r="F229">
        <v>8899</v>
      </c>
      <c r="I229" s="4">
        <f t="shared" si="3"/>
        <v>0</v>
      </c>
    </row>
    <row r="230" spans="1:9" x14ac:dyDescent="0.25">
      <c r="A230" s="2">
        <v>45567</v>
      </c>
      <c r="B230" t="s">
        <v>1446</v>
      </c>
      <c r="C230" s="4">
        <v>130000</v>
      </c>
      <c r="D230" s="10" t="s">
        <v>26</v>
      </c>
      <c r="I230" s="4">
        <f t="shared" si="3"/>
        <v>0</v>
      </c>
    </row>
    <row r="231" spans="1:9" x14ac:dyDescent="0.25">
      <c r="A231" s="2"/>
      <c r="B231" t="s">
        <v>1462</v>
      </c>
      <c r="C231" s="4">
        <v>50500</v>
      </c>
      <c r="D231" s="10" t="s">
        <v>26</v>
      </c>
      <c r="I231" s="4">
        <f t="shared" si="3"/>
        <v>0</v>
      </c>
    </row>
    <row r="232" spans="1:9" x14ac:dyDescent="0.25">
      <c r="A232" s="2">
        <v>45601</v>
      </c>
      <c r="B232" t="s">
        <v>1466</v>
      </c>
      <c r="C232" s="4">
        <v>105000</v>
      </c>
      <c r="D232" s="10" t="s">
        <v>157</v>
      </c>
      <c r="F232" t="s">
        <v>1470</v>
      </c>
      <c r="I232" s="4">
        <f t="shared" si="3"/>
        <v>0</v>
      </c>
    </row>
    <row r="233" spans="1:9" x14ac:dyDescent="0.25">
      <c r="B233" t="s">
        <v>1493</v>
      </c>
      <c r="C233" s="4">
        <v>72000</v>
      </c>
      <c r="D233" s="10" t="s">
        <v>157</v>
      </c>
      <c r="F233">
        <v>8899</v>
      </c>
      <c r="I233" s="4">
        <f t="shared" si="3"/>
        <v>0</v>
      </c>
    </row>
    <row r="234" spans="1:9" x14ac:dyDescent="0.25">
      <c r="A234" s="18">
        <v>45604</v>
      </c>
      <c r="B234" t="s">
        <v>1471</v>
      </c>
      <c r="C234" s="4">
        <v>38000</v>
      </c>
      <c r="D234" s="10" t="s">
        <v>26</v>
      </c>
      <c r="I234" s="4">
        <f t="shared" si="3"/>
        <v>0</v>
      </c>
    </row>
    <row r="235" spans="1:9" x14ac:dyDescent="0.25">
      <c r="A235" s="2">
        <v>45611</v>
      </c>
      <c r="B235" t="s">
        <v>1488</v>
      </c>
      <c r="C235" s="4">
        <v>95000</v>
      </c>
      <c r="D235" s="10" t="s">
        <v>364</v>
      </c>
      <c r="I235" s="4">
        <f t="shared" si="3"/>
        <v>95000</v>
      </c>
    </row>
    <row r="236" spans="1:9" x14ac:dyDescent="0.25">
      <c r="A236" s="2">
        <v>45615</v>
      </c>
      <c r="B236" t="s">
        <v>1490</v>
      </c>
      <c r="C236" s="4">
        <v>45000</v>
      </c>
      <c r="D236" s="10" t="s">
        <v>26</v>
      </c>
      <c r="E236" t="s">
        <v>1491</v>
      </c>
      <c r="F236">
        <v>8917</v>
      </c>
      <c r="I236" s="4">
        <f t="shared" si="3"/>
        <v>0</v>
      </c>
    </row>
    <row r="237" spans="1:9" x14ac:dyDescent="0.25">
      <c r="B237" t="s">
        <v>1499</v>
      </c>
      <c r="C237" s="4">
        <v>20000</v>
      </c>
      <c r="D237" s="10" t="s">
        <v>26</v>
      </c>
      <c r="F237">
        <v>8899</v>
      </c>
      <c r="I237" s="4">
        <f t="shared" si="3"/>
        <v>0</v>
      </c>
    </row>
    <row r="238" spans="1:9" x14ac:dyDescent="0.25">
      <c r="A238" s="2">
        <v>45649</v>
      </c>
      <c r="B238" t="s">
        <v>1524</v>
      </c>
      <c r="C238" s="4">
        <v>30000</v>
      </c>
      <c r="D238" s="10" t="s">
        <v>26</v>
      </c>
      <c r="I238" s="4">
        <f t="shared" si="3"/>
        <v>0</v>
      </c>
    </row>
    <row r="239" spans="1:9" x14ac:dyDescent="0.25">
      <c r="A239" s="2">
        <v>45639</v>
      </c>
      <c r="B239" t="s">
        <v>1525</v>
      </c>
      <c r="C239" s="4">
        <v>20000</v>
      </c>
      <c r="D239" s="10" t="s">
        <v>157</v>
      </c>
      <c r="I239" s="4">
        <f t="shared" si="3"/>
        <v>0</v>
      </c>
    </row>
    <row r="240" spans="1:9" x14ac:dyDescent="0.25">
      <c r="A240" s="2">
        <v>45650</v>
      </c>
      <c r="B240" t="s">
        <v>1527</v>
      </c>
      <c r="C240" s="4">
        <v>18000</v>
      </c>
      <c r="D240" s="10" t="s">
        <v>364</v>
      </c>
      <c r="I240" s="4">
        <f t="shared" si="3"/>
        <v>18000</v>
      </c>
    </row>
    <row r="241" spans="9:9" x14ac:dyDescent="0.25">
      <c r="I241" s="4">
        <f t="shared" si="3"/>
        <v>0</v>
      </c>
    </row>
    <row r="242" spans="9:9" x14ac:dyDescent="0.25">
      <c r="I242" s="4">
        <f t="shared" si="3"/>
        <v>0</v>
      </c>
    </row>
    <row r="243" spans="9:9" x14ac:dyDescent="0.25">
      <c r="I243" s="4">
        <f t="shared" si="3"/>
        <v>0</v>
      </c>
    </row>
    <row r="244" spans="9:9" x14ac:dyDescent="0.25">
      <c r="I244" s="4">
        <f t="shared" si="3"/>
        <v>0</v>
      </c>
    </row>
    <row r="245" spans="9:9" x14ac:dyDescent="0.25">
      <c r="I245" s="4">
        <f t="shared" si="3"/>
        <v>0</v>
      </c>
    </row>
    <row r="246" spans="9:9" x14ac:dyDescent="0.25">
      <c r="I246" s="4">
        <f t="shared" si="3"/>
        <v>0</v>
      </c>
    </row>
    <row r="247" spans="9:9" x14ac:dyDescent="0.25">
      <c r="I247" s="4">
        <f t="shared" si="3"/>
        <v>0</v>
      </c>
    </row>
    <row r="248" spans="9:9" x14ac:dyDescent="0.25">
      <c r="I248" s="4">
        <f t="shared" si="3"/>
        <v>0</v>
      </c>
    </row>
    <row r="249" spans="9:9" x14ac:dyDescent="0.25">
      <c r="I249" s="4">
        <f t="shared" si="3"/>
        <v>0</v>
      </c>
    </row>
    <row r="250" spans="9:9" x14ac:dyDescent="0.25">
      <c r="I250" s="4">
        <f t="shared" si="3"/>
        <v>0</v>
      </c>
    </row>
    <row r="251" spans="9:9" x14ac:dyDescent="0.25">
      <c r="I251" s="4">
        <f t="shared" si="3"/>
        <v>0</v>
      </c>
    </row>
    <row r="252" spans="9:9" x14ac:dyDescent="0.25">
      <c r="I252" s="4">
        <f t="shared" si="3"/>
        <v>0</v>
      </c>
    </row>
    <row r="253" spans="9:9" x14ac:dyDescent="0.25">
      <c r="I253" s="4">
        <f t="shared" si="3"/>
        <v>0</v>
      </c>
    </row>
    <row r="254" spans="9:9" x14ac:dyDescent="0.25">
      <c r="I254" s="4">
        <f t="shared" si="3"/>
        <v>0</v>
      </c>
    </row>
    <row r="255" spans="9:9" x14ac:dyDescent="0.25">
      <c r="I255" s="4">
        <f t="shared" si="3"/>
        <v>0</v>
      </c>
    </row>
    <row r="256" spans="9:9" x14ac:dyDescent="0.25">
      <c r="I256" s="4">
        <f t="shared" si="3"/>
        <v>0</v>
      </c>
    </row>
    <row r="257" spans="9:9" x14ac:dyDescent="0.25">
      <c r="I257" s="4">
        <f t="shared" si="3"/>
        <v>0</v>
      </c>
    </row>
    <row r="258" spans="9:9" x14ac:dyDescent="0.25">
      <c r="I258" s="4">
        <f t="shared" si="3"/>
        <v>0</v>
      </c>
    </row>
    <row r="259" spans="9:9" x14ac:dyDescent="0.25">
      <c r="I259" s="4">
        <f t="shared" si="3"/>
        <v>0</v>
      </c>
    </row>
    <row r="260" spans="9:9" x14ac:dyDescent="0.25">
      <c r="I260" s="4">
        <f t="shared" si="3"/>
        <v>0</v>
      </c>
    </row>
    <row r="261" spans="9:9" x14ac:dyDescent="0.25">
      <c r="I261" s="4">
        <f t="shared" si="3"/>
        <v>0</v>
      </c>
    </row>
    <row r="262" spans="9:9" x14ac:dyDescent="0.25">
      <c r="I262" s="4">
        <f t="shared" si="3"/>
        <v>0</v>
      </c>
    </row>
    <row r="263" spans="9:9" x14ac:dyDescent="0.25">
      <c r="I263" s="4">
        <f t="shared" si="3"/>
        <v>0</v>
      </c>
    </row>
    <row r="264" spans="9:9" x14ac:dyDescent="0.25">
      <c r="I264" s="4">
        <f t="shared" si="3"/>
        <v>0</v>
      </c>
    </row>
    <row r="265" spans="9:9" x14ac:dyDescent="0.25">
      <c r="I265" s="4">
        <f t="shared" si="3"/>
        <v>0</v>
      </c>
    </row>
    <row r="266" spans="9:9" x14ac:dyDescent="0.25">
      <c r="I266" s="4">
        <f t="shared" si="3"/>
        <v>0</v>
      </c>
    </row>
    <row r="267" spans="9:9" x14ac:dyDescent="0.25">
      <c r="I267" s="4">
        <f t="shared" si="3"/>
        <v>0</v>
      </c>
    </row>
    <row r="268" spans="9:9" x14ac:dyDescent="0.25">
      <c r="I268" s="4">
        <f t="shared" si="3"/>
        <v>0</v>
      </c>
    </row>
    <row r="269" spans="9:9" x14ac:dyDescent="0.25">
      <c r="I269" s="4">
        <f t="shared" si="3"/>
        <v>0</v>
      </c>
    </row>
    <row r="270" spans="9:9" x14ac:dyDescent="0.25">
      <c r="I270" s="4">
        <f t="shared" si="3"/>
        <v>0</v>
      </c>
    </row>
    <row r="271" spans="9:9" x14ac:dyDescent="0.25">
      <c r="I271" s="4">
        <f t="shared" si="3"/>
        <v>0</v>
      </c>
    </row>
    <row r="272" spans="9:9" x14ac:dyDescent="0.25">
      <c r="I272" s="4">
        <f t="shared" si="3"/>
        <v>0</v>
      </c>
    </row>
    <row r="273" spans="9:9" x14ac:dyDescent="0.25">
      <c r="I273" s="4">
        <f t="shared" si="3"/>
        <v>0</v>
      </c>
    </row>
    <row r="274" spans="9:9" x14ac:dyDescent="0.25">
      <c r="I274" s="4">
        <f t="shared" si="3"/>
        <v>0</v>
      </c>
    </row>
    <row r="275" spans="9:9" x14ac:dyDescent="0.25">
      <c r="I275" s="4">
        <f t="shared" si="3"/>
        <v>0</v>
      </c>
    </row>
    <row r="276" spans="9:9" x14ac:dyDescent="0.25">
      <c r="I276" s="4">
        <f t="shared" si="3"/>
        <v>0</v>
      </c>
    </row>
    <row r="277" spans="9:9" x14ac:dyDescent="0.25">
      <c r="I277" s="4">
        <f t="shared" si="3"/>
        <v>0</v>
      </c>
    </row>
    <row r="278" spans="9:9" x14ac:dyDescent="0.25">
      <c r="I278" s="4">
        <f t="shared" si="3"/>
        <v>0</v>
      </c>
    </row>
    <row r="279" spans="9:9" x14ac:dyDescent="0.25">
      <c r="I279" s="4">
        <f t="shared" si="3"/>
        <v>0</v>
      </c>
    </row>
    <row r="280" spans="9:9" x14ac:dyDescent="0.25">
      <c r="I280" s="4">
        <f t="shared" si="3"/>
        <v>0</v>
      </c>
    </row>
    <row r="281" spans="9:9" x14ac:dyDescent="0.25">
      <c r="I281" s="4">
        <f t="shared" si="3"/>
        <v>0</v>
      </c>
    </row>
    <row r="282" spans="9:9" x14ac:dyDescent="0.25">
      <c r="I282" s="4">
        <f t="shared" ref="I282:I345" si="4">IF(D282="PENDIENTE",C282,0)</f>
        <v>0</v>
      </c>
    </row>
    <row r="283" spans="9:9" x14ac:dyDescent="0.25">
      <c r="I283" s="4">
        <f t="shared" si="4"/>
        <v>0</v>
      </c>
    </row>
    <row r="284" spans="9:9" x14ac:dyDescent="0.25">
      <c r="I284" s="4">
        <f t="shared" si="4"/>
        <v>0</v>
      </c>
    </row>
    <row r="285" spans="9:9" x14ac:dyDescent="0.25">
      <c r="I285" s="4">
        <f t="shared" si="4"/>
        <v>0</v>
      </c>
    </row>
    <row r="286" spans="9:9" x14ac:dyDescent="0.25">
      <c r="I286" s="4">
        <f t="shared" si="4"/>
        <v>0</v>
      </c>
    </row>
    <row r="287" spans="9:9" x14ac:dyDescent="0.25">
      <c r="I287" s="4">
        <f t="shared" si="4"/>
        <v>0</v>
      </c>
    </row>
    <row r="288" spans="9:9" x14ac:dyDescent="0.25">
      <c r="I288" s="4">
        <f t="shared" si="4"/>
        <v>0</v>
      </c>
    </row>
    <row r="289" spans="9:9" x14ac:dyDescent="0.25">
      <c r="I289" s="4">
        <f t="shared" si="4"/>
        <v>0</v>
      </c>
    </row>
    <row r="290" spans="9:9" x14ac:dyDescent="0.25">
      <c r="I290" s="4">
        <f t="shared" si="4"/>
        <v>0</v>
      </c>
    </row>
    <row r="291" spans="9:9" x14ac:dyDescent="0.25">
      <c r="I291" s="4">
        <f t="shared" si="4"/>
        <v>0</v>
      </c>
    </row>
    <row r="292" spans="9:9" x14ac:dyDescent="0.25">
      <c r="I292" s="4">
        <f t="shared" si="4"/>
        <v>0</v>
      </c>
    </row>
    <row r="293" spans="9:9" x14ac:dyDescent="0.25">
      <c r="I293" s="4">
        <f t="shared" si="4"/>
        <v>0</v>
      </c>
    </row>
    <row r="294" spans="9:9" x14ac:dyDescent="0.25">
      <c r="I294" s="4">
        <f t="shared" si="4"/>
        <v>0</v>
      </c>
    </row>
    <row r="295" spans="9:9" x14ac:dyDescent="0.25">
      <c r="I295" s="4">
        <f t="shared" si="4"/>
        <v>0</v>
      </c>
    </row>
    <row r="296" spans="9:9" x14ac:dyDescent="0.25">
      <c r="I296" s="4">
        <f t="shared" si="4"/>
        <v>0</v>
      </c>
    </row>
    <row r="297" spans="9:9" x14ac:dyDescent="0.25">
      <c r="I297" s="4">
        <f t="shared" si="4"/>
        <v>0</v>
      </c>
    </row>
    <row r="298" spans="9:9" x14ac:dyDescent="0.25">
      <c r="I298" s="4">
        <f t="shared" si="4"/>
        <v>0</v>
      </c>
    </row>
    <row r="299" spans="9:9" x14ac:dyDescent="0.25">
      <c r="I299" s="4">
        <f t="shared" si="4"/>
        <v>0</v>
      </c>
    </row>
    <row r="300" spans="9:9" x14ac:dyDescent="0.25">
      <c r="I300" s="4">
        <f t="shared" si="4"/>
        <v>0</v>
      </c>
    </row>
    <row r="301" spans="9:9" x14ac:dyDescent="0.25">
      <c r="I301" s="4">
        <f t="shared" si="4"/>
        <v>0</v>
      </c>
    </row>
    <row r="302" spans="9:9" x14ac:dyDescent="0.25">
      <c r="I302" s="4">
        <f t="shared" si="4"/>
        <v>0</v>
      </c>
    </row>
    <row r="303" spans="9:9" x14ac:dyDescent="0.25">
      <c r="I303" s="4">
        <f t="shared" si="4"/>
        <v>0</v>
      </c>
    </row>
    <row r="304" spans="9:9" x14ac:dyDescent="0.25">
      <c r="I304" s="4">
        <f t="shared" si="4"/>
        <v>0</v>
      </c>
    </row>
    <row r="305" spans="9:9" x14ac:dyDescent="0.25">
      <c r="I305" s="4">
        <f t="shared" si="4"/>
        <v>0</v>
      </c>
    </row>
    <row r="306" spans="9:9" x14ac:dyDescent="0.25">
      <c r="I306" s="4">
        <f t="shared" si="4"/>
        <v>0</v>
      </c>
    </row>
    <row r="307" spans="9:9" x14ac:dyDescent="0.25">
      <c r="I307" s="4">
        <f t="shared" si="4"/>
        <v>0</v>
      </c>
    </row>
    <row r="308" spans="9:9" x14ac:dyDescent="0.25">
      <c r="I308" s="4">
        <f t="shared" si="4"/>
        <v>0</v>
      </c>
    </row>
    <row r="309" spans="9:9" x14ac:dyDescent="0.25">
      <c r="I309" s="4">
        <f t="shared" si="4"/>
        <v>0</v>
      </c>
    </row>
    <row r="310" spans="9:9" x14ac:dyDescent="0.25">
      <c r="I310" s="4">
        <f t="shared" si="4"/>
        <v>0</v>
      </c>
    </row>
    <row r="311" spans="9:9" x14ac:dyDescent="0.25">
      <c r="I311" s="4">
        <f t="shared" si="4"/>
        <v>0</v>
      </c>
    </row>
    <row r="312" spans="9:9" x14ac:dyDescent="0.25">
      <c r="I312" s="4">
        <f t="shared" si="4"/>
        <v>0</v>
      </c>
    </row>
    <row r="313" spans="9:9" x14ac:dyDescent="0.25">
      <c r="I313" s="4">
        <f t="shared" si="4"/>
        <v>0</v>
      </c>
    </row>
    <row r="314" spans="9:9" x14ac:dyDescent="0.25">
      <c r="I314" s="4">
        <f t="shared" si="4"/>
        <v>0</v>
      </c>
    </row>
    <row r="315" spans="9:9" x14ac:dyDescent="0.25">
      <c r="I315" s="4">
        <f t="shared" si="4"/>
        <v>0</v>
      </c>
    </row>
    <row r="316" spans="9:9" x14ac:dyDescent="0.25">
      <c r="I316" s="4">
        <f t="shared" si="4"/>
        <v>0</v>
      </c>
    </row>
    <row r="317" spans="9:9" x14ac:dyDescent="0.25">
      <c r="I317" s="4">
        <f t="shared" si="4"/>
        <v>0</v>
      </c>
    </row>
    <row r="318" spans="9:9" x14ac:dyDescent="0.25">
      <c r="I318" s="4">
        <f t="shared" si="4"/>
        <v>0</v>
      </c>
    </row>
    <row r="319" spans="9:9" x14ac:dyDescent="0.25">
      <c r="I319" s="4">
        <f t="shared" si="4"/>
        <v>0</v>
      </c>
    </row>
    <row r="320" spans="9:9" x14ac:dyDescent="0.25">
      <c r="I320" s="4">
        <f t="shared" si="4"/>
        <v>0</v>
      </c>
    </row>
    <row r="321" spans="9:9" x14ac:dyDescent="0.25">
      <c r="I321" s="4">
        <f t="shared" si="4"/>
        <v>0</v>
      </c>
    </row>
    <row r="322" spans="9:9" x14ac:dyDescent="0.25">
      <c r="I322" s="4">
        <f t="shared" si="4"/>
        <v>0</v>
      </c>
    </row>
    <row r="323" spans="9:9" x14ac:dyDescent="0.25">
      <c r="I323" s="4">
        <f t="shared" si="4"/>
        <v>0</v>
      </c>
    </row>
    <row r="324" spans="9:9" x14ac:dyDescent="0.25">
      <c r="I324" s="4">
        <f t="shared" si="4"/>
        <v>0</v>
      </c>
    </row>
    <row r="325" spans="9:9" x14ac:dyDescent="0.25">
      <c r="I325" s="4">
        <f t="shared" si="4"/>
        <v>0</v>
      </c>
    </row>
    <row r="326" spans="9:9" x14ac:dyDescent="0.25">
      <c r="I326" s="4">
        <f t="shared" si="4"/>
        <v>0</v>
      </c>
    </row>
    <row r="327" spans="9:9" x14ac:dyDescent="0.25">
      <c r="I327" s="4">
        <f t="shared" si="4"/>
        <v>0</v>
      </c>
    </row>
    <row r="328" spans="9:9" x14ac:dyDescent="0.25">
      <c r="I328" s="4">
        <f t="shared" si="4"/>
        <v>0</v>
      </c>
    </row>
    <row r="329" spans="9:9" x14ac:dyDescent="0.25">
      <c r="I329" s="4">
        <f t="shared" si="4"/>
        <v>0</v>
      </c>
    </row>
    <row r="330" spans="9:9" x14ac:dyDescent="0.25">
      <c r="I330" s="4">
        <f t="shared" si="4"/>
        <v>0</v>
      </c>
    </row>
    <row r="331" spans="9:9" x14ac:dyDescent="0.25">
      <c r="I331" s="4">
        <f t="shared" si="4"/>
        <v>0</v>
      </c>
    </row>
    <row r="332" spans="9:9" x14ac:dyDescent="0.25">
      <c r="I332" s="4">
        <f t="shared" si="4"/>
        <v>0</v>
      </c>
    </row>
    <row r="333" spans="9:9" x14ac:dyDescent="0.25">
      <c r="I333" s="4">
        <f t="shared" si="4"/>
        <v>0</v>
      </c>
    </row>
    <row r="334" spans="9:9" x14ac:dyDescent="0.25">
      <c r="I334" s="4">
        <f t="shared" si="4"/>
        <v>0</v>
      </c>
    </row>
    <row r="335" spans="9:9" x14ac:dyDescent="0.25">
      <c r="I335" s="4">
        <f t="shared" si="4"/>
        <v>0</v>
      </c>
    </row>
    <row r="336" spans="9:9" x14ac:dyDescent="0.25">
      <c r="I336" s="4">
        <f t="shared" si="4"/>
        <v>0</v>
      </c>
    </row>
    <row r="337" spans="9:9" x14ac:dyDescent="0.25">
      <c r="I337" s="4">
        <f t="shared" si="4"/>
        <v>0</v>
      </c>
    </row>
    <row r="338" spans="9:9" x14ac:dyDescent="0.25">
      <c r="I338" s="4">
        <f t="shared" si="4"/>
        <v>0</v>
      </c>
    </row>
    <row r="339" spans="9:9" x14ac:dyDescent="0.25">
      <c r="I339" s="4">
        <f t="shared" si="4"/>
        <v>0</v>
      </c>
    </row>
    <row r="340" spans="9:9" x14ac:dyDescent="0.25">
      <c r="I340" s="4">
        <f t="shared" si="4"/>
        <v>0</v>
      </c>
    </row>
    <row r="341" spans="9:9" x14ac:dyDescent="0.25">
      <c r="I341" s="4">
        <f t="shared" si="4"/>
        <v>0</v>
      </c>
    </row>
    <row r="342" spans="9:9" x14ac:dyDescent="0.25">
      <c r="I342" s="4">
        <f t="shared" si="4"/>
        <v>0</v>
      </c>
    </row>
    <row r="343" spans="9:9" x14ac:dyDescent="0.25">
      <c r="I343" s="4">
        <f t="shared" si="4"/>
        <v>0</v>
      </c>
    </row>
    <row r="344" spans="9:9" x14ac:dyDescent="0.25">
      <c r="I344" s="4">
        <f t="shared" si="4"/>
        <v>0</v>
      </c>
    </row>
    <row r="345" spans="9:9" x14ac:dyDescent="0.25">
      <c r="I345" s="4">
        <f t="shared" si="4"/>
        <v>0</v>
      </c>
    </row>
    <row r="346" spans="9:9" x14ac:dyDescent="0.25">
      <c r="I346" s="4">
        <f t="shared" ref="I346:I348" si="5">IF(D346="PENDIENTE",C346,0)</f>
        <v>0</v>
      </c>
    </row>
    <row r="347" spans="9:9" x14ac:dyDescent="0.25">
      <c r="I347" s="4">
        <f t="shared" si="5"/>
        <v>0</v>
      </c>
    </row>
    <row r="348" spans="9:9" x14ac:dyDescent="0.25">
      <c r="I348" s="4">
        <f t="shared" si="5"/>
        <v>0</v>
      </c>
    </row>
  </sheetData>
  <autoFilter ref="A1:F99">
    <sortState ref="A2:F101">
      <sortCondition ref="A1:A99"/>
    </sortState>
  </autoFilter>
  <conditionalFormatting sqref="D1:D1048576">
    <cfRule type="cellIs" dxfId="290" priority="6" operator="equal">
      <formula>"PAGADO"</formula>
    </cfRule>
    <cfRule type="cellIs" dxfId="289" priority="7" operator="equal">
      <formula>"PENDIENTE"</formula>
    </cfRule>
    <cfRule type="cellIs" dxfId="288" priority="8" operator="equal">
      <formula>"""PENDIENTE"""</formula>
    </cfRule>
  </conditionalFormatting>
  <conditionalFormatting sqref="E1:E1048576">
    <cfRule type="cellIs" dxfId="287" priority="4" operator="equal">
      <formula>"FACTURADO"</formula>
    </cfRule>
    <cfRule type="cellIs" dxfId="286" priority="5" operator="equal">
      <formula>"NO FACTURADO"</formula>
    </cfRule>
  </conditionalFormatting>
  <conditionalFormatting sqref="F1:F1048576">
    <cfRule type="cellIs" dxfId="285" priority="1" operator="equal">
      <formula>"DELIS"</formula>
    </cfRule>
    <cfRule type="cellIs" dxfId="284" priority="2" operator="equal">
      <formula>"CESAR"</formula>
    </cfRule>
    <cfRule type="cellIs" dxfId="283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89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44181</v>
      </c>
      <c r="B2" t="s">
        <v>6</v>
      </c>
      <c r="C2" s="4">
        <v>14000</v>
      </c>
      <c r="D2" s="7" t="s">
        <v>26</v>
      </c>
      <c r="E2" t="s">
        <v>27</v>
      </c>
      <c r="F2" t="s">
        <v>52</v>
      </c>
      <c r="H2" t="str">
        <f t="shared" ref="H2:H28" si="0">IF(E:E="NO FACTURADO","PENDIENTE","AL DIA")</f>
        <v>AL DIA</v>
      </c>
      <c r="I2" s="4">
        <f>IF(D2="PENDIENTE",C2,0)</f>
        <v>0</v>
      </c>
      <c r="J2" s="4">
        <v>0</v>
      </c>
      <c r="K2" s="11" t="s">
        <v>121</v>
      </c>
    </row>
    <row r="3" spans="1:11" x14ac:dyDescent="0.25">
      <c r="A3" s="2">
        <v>44181</v>
      </c>
      <c r="B3" t="s">
        <v>8</v>
      </c>
      <c r="C3" s="4">
        <v>5000</v>
      </c>
      <c r="D3" s="7" t="s">
        <v>26</v>
      </c>
      <c r="E3" t="s">
        <v>27</v>
      </c>
      <c r="F3" t="s">
        <v>10</v>
      </c>
      <c r="H3" t="str">
        <f t="shared" si="0"/>
        <v>AL DIA</v>
      </c>
      <c r="I3" s="4">
        <f t="shared" ref="I3:I66" si="1">IF(D3="PENDIENTE",C3,0)</f>
        <v>0</v>
      </c>
      <c r="K3" s="11"/>
    </row>
    <row r="4" spans="1:11" x14ac:dyDescent="0.25">
      <c r="A4" s="2">
        <v>44194</v>
      </c>
      <c r="B4" t="s">
        <v>23</v>
      </c>
      <c r="C4" s="4">
        <v>100000</v>
      </c>
      <c r="D4" t="s">
        <v>26</v>
      </c>
      <c r="E4" t="s">
        <v>27</v>
      </c>
      <c r="F4" t="s">
        <v>10</v>
      </c>
      <c r="H4" t="str">
        <f t="shared" si="0"/>
        <v>AL DIA</v>
      </c>
      <c r="I4" s="4">
        <f t="shared" si="1"/>
        <v>0</v>
      </c>
    </row>
    <row r="5" spans="1:11" x14ac:dyDescent="0.25">
      <c r="A5" s="2">
        <v>44194</v>
      </c>
      <c r="B5" t="s">
        <v>24</v>
      </c>
      <c r="C5" s="4">
        <v>110000</v>
      </c>
      <c r="D5" t="s">
        <v>26</v>
      </c>
      <c r="E5" s="12" t="s">
        <v>27</v>
      </c>
      <c r="F5" s="12" t="s">
        <v>25</v>
      </c>
      <c r="H5" t="str">
        <f t="shared" si="0"/>
        <v>AL DIA</v>
      </c>
      <c r="I5" s="4">
        <f t="shared" si="1"/>
        <v>0</v>
      </c>
    </row>
    <row r="6" spans="1:11" x14ac:dyDescent="0.25">
      <c r="A6" s="2">
        <v>44194</v>
      </c>
      <c r="B6" t="s">
        <v>28</v>
      </c>
      <c r="C6" s="4">
        <v>8500</v>
      </c>
      <c r="D6" t="s">
        <v>26</v>
      </c>
      <c r="E6" s="12" t="s">
        <v>11</v>
      </c>
      <c r="F6" s="12" t="s">
        <v>10</v>
      </c>
      <c r="H6" t="s">
        <v>175</v>
      </c>
      <c r="I6" s="4">
        <f>IF(D6="PENDIENTE",C6,0)</f>
        <v>0</v>
      </c>
    </row>
    <row r="7" spans="1:11" x14ac:dyDescent="0.25">
      <c r="A7" s="2">
        <v>44195</v>
      </c>
      <c r="B7" t="s">
        <v>29</v>
      </c>
      <c r="C7" s="4">
        <v>18500</v>
      </c>
      <c r="D7" t="s">
        <v>26</v>
      </c>
      <c r="E7" s="12" t="s">
        <v>11</v>
      </c>
      <c r="F7" s="12" t="s">
        <v>10</v>
      </c>
      <c r="H7" t="s">
        <v>175</v>
      </c>
      <c r="I7" s="4">
        <f t="shared" si="1"/>
        <v>0</v>
      </c>
    </row>
    <row r="8" spans="1:11" x14ac:dyDescent="0.25">
      <c r="A8" s="2">
        <v>44230</v>
      </c>
      <c r="B8" t="s">
        <v>116</v>
      </c>
      <c r="C8" s="4">
        <v>10000</v>
      </c>
      <c r="D8" t="s">
        <v>26</v>
      </c>
      <c r="E8" s="12" t="s">
        <v>11</v>
      </c>
      <c r="F8" s="12" t="s">
        <v>25</v>
      </c>
      <c r="H8" t="s">
        <v>175</v>
      </c>
      <c r="I8" s="4">
        <f t="shared" si="1"/>
        <v>0</v>
      </c>
    </row>
    <row r="9" spans="1:11" x14ac:dyDescent="0.25">
      <c r="A9" s="2">
        <v>44239</v>
      </c>
      <c r="B9" t="s">
        <v>117</v>
      </c>
      <c r="C9" s="4">
        <v>13000</v>
      </c>
      <c r="D9" t="s">
        <v>26</v>
      </c>
      <c r="E9" s="12" t="s">
        <v>11</v>
      </c>
      <c r="F9" s="12" t="s">
        <v>25</v>
      </c>
      <c r="H9" t="s">
        <v>175</v>
      </c>
      <c r="I9" s="4">
        <f t="shared" si="1"/>
        <v>0</v>
      </c>
    </row>
    <row r="10" spans="1:11" x14ac:dyDescent="0.25">
      <c r="A10" s="2">
        <v>44240</v>
      </c>
      <c r="B10" t="s">
        <v>114</v>
      </c>
      <c r="C10" s="4">
        <v>5600</v>
      </c>
      <c r="D10" t="s">
        <v>26</v>
      </c>
      <c r="E10" s="12" t="s">
        <v>11</v>
      </c>
      <c r="F10" s="12" t="s">
        <v>25</v>
      </c>
      <c r="H10" t="s">
        <v>175</v>
      </c>
      <c r="I10" s="4">
        <f t="shared" si="1"/>
        <v>0</v>
      </c>
    </row>
    <row r="11" spans="1:11" x14ac:dyDescent="0.25">
      <c r="A11" s="2">
        <v>44240</v>
      </c>
      <c r="B11" t="s">
        <v>115</v>
      </c>
      <c r="C11" s="4">
        <v>5000</v>
      </c>
      <c r="D11" t="s">
        <v>26</v>
      </c>
      <c r="E11" s="12" t="s">
        <v>11</v>
      </c>
      <c r="F11" s="12" t="s">
        <v>25</v>
      </c>
      <c r="H11" t="s">
        <v>175</v>
      </c>
      <c r="I11" s="4">
        <f t="shared" si="1"/>
        <v>0</v>
      </c>
    </row>
    <row r="12" spans="1:11" x14ac:dyDescent="0.25">
      <c r="A12" s="2">
        <v>44509</v>
      </c>
      <c r="B12" t="s">
        <v>416</v>
      </c>
      <c r="C12" s="4">
        <v>90000</v>
      </c>
      <c r="D12" t="s">
        <v>26</v>
      </c>
      <c r="E12" s="12" t="s">
        <v>11</v>
      </c>
      <c r="F12" s="12" t="s">
        <v>25</v>
      </c>
      <c r="H12" t="s">
        <v>175</v>
      </c>
      <c r="I12" s="4">
        <f t="shared" si="1"/>
        <v>0</v>
      </c>
    </row>
    <row r="13" spans="1:11" x14ac:dyDescent="0.25">
      <c r="A13" s="2">
        <v>44705</v>
      </c>
      <c r="B13" t="s">
        <v>628</v>
      </c>
      <c r="C13" s="4">
        <v>50000</v>
      </c>
      <c r="D13" t="s">
        <v>26</v>
      </c>
      <c r="F13" s="12" t="s">
        <v>270</v>
      </c>
      <c r="H13" t="str">
        <f t="shared" si="0"/>
        <v>AL DIA</v>
      </c>
      <c r="I13" s="4">
        <f t="shared" si="1"/>
        <v>0</v>
      </c>
    </row>
    <row r="14" spans="1:11" x14ac:dyDescent="0.25">
      <c r="A14" s="2">
        <v>44726</v>
      </c>
      <c r="B14" t="s">
        <v>642</v>
      </c>
      <c r="C14" s="4">
        <v>129000</v>
      </c>
      <c r="D14" t="s">
        <v>157</v>
      </c>
      <c r="F14" s="12" t="s">
        <v>10</v>
      </c>
      <c r="H14" t="str">
        <f t="shared" si="0"/>
        <v>AL DIA</v>
      </c>
      <c r="I14" s="4">
        <f t="shared" si="1"/>
        <v>0</v>
      </c>
    </row>
    <row r="15" spans="1:11" x14ac:dyDescent="0.25">
      <c r="A15" s="2">
        <v>44852</v>
      </c>
      <c r="B15" t="s">
        <v>761</v>
      </c>
      <c r="C15" s="4">
        <v>15000</v>
      </c>
      <c r="D15" t="s">
        <v>26</v>
      </c>
      <c r="F15" s="12" t="s">
        <v>25</v>
      </c>
      <c r="H15" t="str">
        <f t="shared" si="0"/>
        <v>AL DIA</v>
      </c>
      <c r="I15" s="4">
        <f>IF(D15="PENDIENTE",C15,0)</f>
        <v>0</v>
      </c>
    </row>
    <row r="16" spans="1:11" x14ac:dyDescent="0.25">
      <c r="A16" s="2">
        <v>44869</v>
      </c>
      <c r="B16" t="s">
        <v>783</v>
      </c>
      <c r="C16" s="4">
        <v>50000</v>
      </c>
      <c r="D16" t="s">
        <v>26</v>
      </c>
      <c r="F16" s="12" t="s">
        <v>25</v>
      </c>
      <c r="H16" t="str">
        <f t="shared" si="0"/>
        <v>AL DIA</v>
      </c>
      <c r="I16" s="4">
        <f t="shared" si="1"/>
        <v>0</v>
      </c>
    </row>
    <row r="17" spans="1:9" x14ac:dyDescent="0.25">
      <c r="A17" s="2">
        <v>44901</v>
      </c>
      <c r="B17" t="s">
        <v>928</v>
      </c>
      <c r="C17" s="4">
        <v>15000</v>
      </c>
      <c r="D17" t="s">
        <v>26</v>
      </c>
      <c r="F17" s="12" t="s">
        <v>10</v>
      </c>
      <c r="H17" t="str">
        <f t="shared" si="0"/>
        <v>AL DIA</v>
      </c>
      <c r="I17" s="4">
        <f t="shared" si="1"/>
        <v>0</v>
      </c>
    </row>
    <row r="18" spans="1:9" x14ac:dyDescent="0.25">
      <c r="A18" s="2">
        <v>45022</v>
      </c>
      <c r="B18" t="s">
        <v>927</v>
      </c>
      <c r="C18" s="4">
        <v>24000</v>
      </c>
      <c r="D18" t="s">
        <v>26</v>
      </c>
      <c r="F18" s="12" t="s">
        <v>292</v>
      </c>
      <c r="H18" t="str">
        <f t="shared" si="0"/>
        <v>AL DIA</v>
      </c>
      <c r="I18" s="4">
        <f t="shared" si="1"/>
        <v>0</v>
      </c>
    </row>
    <row r="19" spans="1:9" x14ac:dyDescent="0.25">
      <c r="A19" s="2">
        <v>45043</v>
      </c>
      <c r="B19" t="s">
        <v>945</v>
      </c>
      <c r="C19" s="4">
        <v>188000</v>
      </c>
      <c r="D19" t="s">
        <v>26</v>
      </c>
      <c r="F19" s="12" t="s">
        <v>25</v>
      </c>
      <c r="H19" t="str">
        <f t="shared" si="0"/>
        <v>AL DIA</v>
      </c>
      <c r="I19" s="4">
        <f t="shared" si="1"/>
        <v>0</v>
      </c>
    </row>
    <row r="20" spans="1:9" x14ac:dyDescent="0.25">
      <c r="A20" s="2">
        <v>45054</v>
      </c>
      <c r="B20" t="s">
        <v>961</v>
      </c>
      <c r="C20" s="4">
        <v>92000</v>
      </c>
      <c r="D20" t="s">
        <v>26</v>
      </c>
      <c r="F20" s="12" t="s">
        <v>25</v>
      </c>
      <c r="H20" t="str">
        <f t="shared" si="0"/>
        <v>AL DIA</v>
      </c>
      <c r="I20" s="4">
        <f t="shared" si="1"/>
        <v>0</v>
      </c>
    </row>
    <row r="21" spans="1:9" x14ac:dyDescent="0.25">
      <c r="A21" s="2">
        <v>45057</v>
      </c>
      <c r="B21" t="s">
        <v>969</v>
      </c>
      <c r="C21" s="4">
        <v>85000</v>
      </c>
      <c r="D21" t="s">
        <v>26</v>
      </c>
      <c r="F21" s="12" t="s">
        <v>10</v>
      </c>
      <c r="H21" t="str">
        <f t="shared" si="0"/>
        <v>AL DIA</v>
      </c>
      <c r="I21" s="4">
        <f t="shared" si="1"/>
        <v>0</v>
      </c>
    </row>
    <row r="22" spans="1:9" x14ac:dyDescent="0.25">
      <c r="A22" s="2">
        <v>45075</v>
      </c>
      <c r="B22" t="s">
        <v>985</v>
      </c>
      <c r="C22" s="4">
        <v>105000</v>
      </c>
      <c r="D22" t="s">
        <v>26</v>
      </c>
      <c r="F22" s="12" t="s">
        <v>10</v>
      </c>
      <c r="H22" t="str">
        <f t="shared" si="0"/>
        <v>AL DIA</v>
      </c>
      <c r="I22" s="4">
        <f t="shared" si="1"/>
        <v>0</v>
      </c>
    </row>
    <row r="23" spans="1:9" x14ac:dyDescent="0.25">
      <c r="A23" s="2">
        <v>45093</v>
      </c>
      <c r="B23" t="s">
        <v>1012</v>
      </c>
      <c r="C23" s="4">
        <v>65000</v>
      </c>
      <c r="D23" t="s">
        <v>26</v>
      </c>
      <c r="F23" s="12" t="s">
        <v>10</v>
      </c>
      <c r="H23" t="str">
        <f t="shared" si="0"/>
        <v>AL DIA</v>
      </c>
      <c r="I23" s="4">
        <f t="shared" si="1"/>
        <v>0</v>
      </c>
    </row>
    <row r="24" spans="1:9" x14ac:dyDescent="0.25">
      <c r="A24" s="2">
        <v>45135</v>
      </c>
      <c r="B24" t="s">
        <v>1051</v>
      </c>
      <c r="C24" s="4">
        <v>45000</v>
      </c>
      <c r="D24" t="s">
        <v>26</v>
      </c>
      <c r="F24" s="12" t="s">
        <v>10</v>
      </c>
      <c r="H24" t="str">
        <f t="shared" si="0"/>
        <v>AL DIA</v>
      </c>
      <c r="I24" s="4">
        <f t="shared" si="1"/>
        <v>0</v>
      </c>
    </row>
    <row r="25" spans="1:9" x14ac:dyDescent="0.25">
      <c r="A25" s="2">
        <v>45138</v>
      </c>
      <c r="B25" t="s">
        <v>1052</v>
      </c>
      <c r="C25" s="4">
        <v>17000</v>
      </c>
      <c r="D25" t="s">
        <v>26</v>
      </c>
      <c r="F25" s="12" t="s">
        <v>25</v>
      </c>
      <c r="H25" t="str">
        <f t="shared" si="0"/>
        <v>AL DIA</v>
      </c>
      <c r="I25" s="4">
        <f t="shared" si="1"/>
        <v>0</v>
      </c>
    </row>
    <row r="26" spans="1:9" x14ac:dyDescent="0.25">
      <c r="A26" s="2">
        <v>45139</v>
      </c>
      <c r="B26" t="s">
        <v>1059</v>
      </c>
      <c r="C26" s="4">
        <v>10000</v>
      </c>
      <c r="D26" t="s">
        <v>26</v>
      </c>
      <c r="H26" t="str">
        <f t="shared" si="0"/>
        <v>AL DIA</v>
      </c>
      <c r="I26" s="4">
        <f t="shared" si="1"/>
        <v>0</v>
      </c>
    </row>
    <row r="27" spans="1:9" x14ac:dyDescent="0.25">
      <c r="A27" s="2">
        <v>45142</v>
      </c>
      <c r="B27" t="s">
        <v>1062</v>
      </c>
      <c r="C27" s="4">
        <v>20000</v>
      </c>
      <c r="D27" t="s">
        <v>26</v>
      </c>
      <c r="H27" t="str">
        <f t="shared" si="0"/>
        <v>AL DIA</v>
      </c>
      <c r="I27" s="4">
        <f t="shared" si="1"/>
        <v>0</v>
      </c>
    </row>
    <row r="28" spans="1:9" x14ac:dyDescent="0.25">
      <c r="A28" s="2">
        <v>45181</v>
      </c>
      <c r="B28" t="s">
        <v>1094</v>
      </c>
      <c r="C28" s="4">
        <v>38000</v>
      </c>
      <c r="D28" t="s">
        <v>26</v>
      </c>
      <c r="H28" t="str">
        <f t="shared" si="0"/>
        <v>AL DIA</v>
      </c>
      <c r="I28" s="4">
        <f t="shared" si="1"/>
        <v>0</v>
      </c>
    </row>
    <row r="29" spans="1:9" x14ac:dyDescent="0.25">
      <c r="B29" t="s">
        <v>1135</v>
      </c>
      <c r="C29" s="4">
        <v>18500</v>
      </c>
      <c r="D29" t="s">
        <v>26</v>
      </c>
      <c r="I29" s="4">
        <f t="shared" si="1"/>
        <v>0</v>
      </c>
    </row>
    <row r="30" spans="1:9" x14ac:dyDescent="0.25">
      <c r="A30" s="2">
        <v>45306</v>
      </c>
      <c r="B30" t="s">
        <v>1219</v>
      </c>
      <c r="C30" s="4">
        <v>28500</v>
      </c>
      <c r="D30" t="s">
        <v>26</v>
      </c>
      <c r="I30" s="4">
        <f>IF(D31="PENDIENTE",C30,0)</f>
        <v>0</v>
      </c>
    </row>
    <row r="31" spans="1:9" x14ac:dyDescent="0.25">
      <c r="B31" t="s">
        <v>1296</v>
      </c>
      <c r="C31" s="4">
        <v>6000</v>
      </c>
      <c r="D31" t="s">
        <v>26</v>
      </c>
      <c r="I31" s="4">
        <v>6000</v>
      </c>
    </row>
    <row r="32" spans="1:9" x14ac:dyDescent="0.25">
      <c r="B32" t="s">
        <v>1297</v>
      </c>
      <c r="C32" s="4">
        <v>11000</v>
      </c>
      <c r="D32" t="s">
        <v>26</v>
      </c>
      <c r="I32" s="4">
        <f t="shared" si="1"/>
        <v>0</v>
      </c>
    </row>
    <row r="33" spans="1:9" x14ac:dyDescent="0.25">
      <c r="B33" t="s">
        <v>1328</v>
      </c>
      <c r="C33" s="4">
        <v>45000</v>
      </c>
      <c r="D33" t="s">
        <v>26</v>
      </c>
      <c r="I33" s="4">
        <f t="shared" si="1"/>
        <v>0</v>
      </c>
    </row>
    <row r="34" spans="1:9" x14ac:dyDescent="0.25">
      <c r="A34" s="2">
        <v>45440</v>
      </c>
      <c r="B34" t="s">
        <v>1341</v>
      </c>
      <c r="C34" s="4">
        <v>20000</v>
      </c>
      <c r="D34" t="s">
        <v>26</v>
      </c>
      <c r="I34" s="4">
        <f t="shared" si="1"/>
        <v>0</v>
      </c>
    </row>
    <row r="35" spans="1:9" x14ac:dyDescent="0.25">
      <c r="A35" s="2">
        <v>45457</v>
      </c>
      <c r="B35" t="s">
        <v>1369</v>
      </c>
      <c r="C35" s="4">
        <v>17000</v>
      </c>
      <c r="D35" t="s">
        <v>26</v>
      </c>
      <c r="E35" t="s">
        <v>1391</v>
      </c>
      <c r="I35" s="4">
        <f t="shared" si="1"/>
        <v>0</v>
      </c>
    </row>
    <row r="36" spans="1:9" x14ac:dyDescent="0.25">
      <c r="I36" s="4">
        <f t="shared" si="1"/>
        <v>0</v>
      </c>
    </row>
    <row r="37" spans="1:9" x14ac:dyDescent="0.25">
      <c r="I37" s="4">
        <f t="shared" si="1"/>
        <v>0</v>
      </c>
    </row>
    <row r="38" spans="1:9" x14ac:dyDescent="0.25">
      <c r="I38" s="4">
        <f t="shared" si="1"/>
        <v>0</v>
      </c>
    </row>
    <row r="39" spans="1:9" x14ac:dyDescent="0.25">
      <c r="I39" s="4">
        <f t="shared" si="1"/>
        <v>0</v>
      </c>
    </row>
    <row r="40" spans="1:9" x14ac:dyDescent="0.25">
      <c r="I40" s="4">
        <f t="shared" si="1"/>
        <v>0</v>
      </c>
    </row>
    <row r="41" spans="1:9" x14ac:dyDescent="0.25">
      <c r="I41" s="4">
        <f t="shared" si="1"/>
        <v>0</v>
      </c>
    </row>
    <row r="42" spans="1:9" x14ac:dyDescent="0.25">
      <c r="I42" s="4">
        <f t="shared" si="1"/>
        <v>0</v>
      </c>
    </row>
    <row r="43" spans="1:9" x14ac:dyDescent="0.25">
      <c r="I43" s="4">
        <f t="shared" si="1"/>
        <v>0</v>
      </c>
    </row>
    <row r="44" spans="1:9" x14ac:dyDescent="0.25">
      <c r="I44" s="4">
        <f t="shared" si="1"/>
        <v>0</v>
      </c>
    </row>
    <row r="45" spans="1:9" x14ac:dyDescent="0.25">
      <c r="I45" s="4">
        <f t="shared" si="1"/>
        <v>0</v>
      </c>
    </row>
    <row r="46" spans="1:9" x14ac:dyDescent="0.25">
      <c r="I46" s="4">
        <f t="shared" si="1"/>
        <v>0</v>
      </c>
    </row>
    <row r="47" spans="1:9" x14ac:dyDescent="0.25">
      <c r="I47" s="4">
        <f t="shared" si="1"/>
        <v>0</v>
      </c>
    </row>
    <row r="48" spans="1:9" x14ac:dyDescent="0.25">
      <c r="I48" s="4">
        <f t="shared" si="1"/>
        <v>0</v>
      </c>
    </row>
    <row r="49" spans="9:9" x14ac:dyDescent="0.25">
      <c r="I49" s="4">
        <f t="shared" si="1"/>
        <v>0</v>
      </c>
    </row>
    <row r="50" spans="9:9" x14ac:dyDescent="0.25">
      <c r="I50" s="4">
        <f t="shared" si="1"/>
        <v>0</v>
      </c>
    </row>
    <row r="51" spans="9:9" x14ac:dyDescent="0.25">
      <c r="I51" s="4">
        <f t="shared" si="1"/>
        <v>0</v>
      </c>
    </row>
    <row r="52" spans="9:9" x14ac:dyDescent="0.25">
      <c r="I52" s="4">
        <f t="shared" si="1"/>
        <v>0</v>
      </c>
    </row>
    <row r="53" spans="9:9" x14ac:dyDescent="0.25">
      <c r="I53" s="4">
        <f t="shared" si="1"/>
        <v>0</v>
      </c>
    </row>
    <row r="54" spans="9:9" x14ac:dyDescent="0.25">
      <c r="I54" s="4">
        <f t="shared" si="1"/>
        <v>0</v>
      </c>
    </row>
    <row r="55" spans="9:9" x14ac:dyDescent="0.25">
      <c r="I55" s="4">
        <f t="shared" si="1"/>
        <v>0</v>
      </c>
    </row>
    <row r="56" spans="9:9" x14ac:dyDescent="0.25">
      <c r="I56" s="4">
        <f t="shared" si="1"/>
        <v>0</v>
      </c>
    </row>
    <row r="57" spans="9:9" x14ac:dyDescent="0.25">
      <c r="I57" s="4">
        <f t="shared" si="1"/>
        <v>0</v>
      </c>
    </row>
    <row r="58" spans="9:9" x14ac:dyDescent="0.25">
      <c r="I58" s="4">
        <f t="shared" si="1"/>
        <v>0</v>
      </c>
    </row>
    <row r="59" spans="9:9" x14ac:dyDescent="0.25">
      <c r="I59" s="4">
        <f t="shared" si="1"/>
        <v>0</v>
      </c>
    </row>
    <row r="60" spans="9:9" x14ac:dyDescent="0.25">
      <c r="I60" s="4">
        <f t="shared" si="1"/>
        <v>0</v>
      </c>
    </row>
    <row r="61" spans="9:9" x14ac:dyDescent="0.25">
      <c r="I61" s="4">
        <f t="shared" si="1"/>
        <v>0</v>
      </c>
    </row>
    <row r="62" spans="9:9" x14ac:dyDescent="0.25">
      <c r="I62" s="4">
        <f t="shared" si="1"/>
        <v>0</v>
      </c>
    </row>
    <row r="63" spans="9:9" x14ac:dyDescent="0.25">
      <c r="I63" s="4">
        <f t="shared" si="1"/>
        <v>0</v>
      </c>
    </row>
    <row r="64" spans="9:9" x14ac:dyDescent="0.25">
      <c r="I64" s="4">
        <f t="shared" si="1"/>
        <v>0</v>
      </c>
    </row>
    <row r="65" spans="9:9" x14ac:dyDescent="0.25">
      <c r="I65" s="4">
        <f t="shared" si="1"/>
        <v>0</v>
      </c>
    </row>
    <row r="66" spans="9:9" x14ac:dyDescent="0.25">
      <c r="I66" s="4">
        <f t="shared" si="1"/>
        <v>0</v>
      </c>
    </row>
    <row r="67" spans="9:9" x14ac:dyDescent="0.25">
      <c r="I67" s="4">
        <f t="shared" ref="I67:I89" si="2">IF(D67="PENDIENTE",C67,0)</f>
        <v>0</v>
      </c>
    </row>
    <row r="68" spans="9:9" x14ac:dyDescent="0.25">
      <c r="I68" s="4">
        <f t="shared" si="2"/>
        <v>0</v>
      </c>
    </row>
    <row r="69" spans="9:9" x14ac:dyDescent="0.25">
      <c r="I69" s="4">
        <f t="shared" si="2"/>
        <v>0</v>
      </c>
    </row>
    <row r="70" spans="9:9" x14ac:dyDescent="0.25">
      <c r="I70" s="4">
        <f t="shared" si="2"/>
        <v>0</v>
      </c>
    </row>
    <row r="71" spans="9:9" x14ac:dyDescent="0.25">
      <c r="I71" s="4">
        <f t="shared" si="2"/>
        <v>0</v>
      </c>
    </row>
    <row r="72" spans="9:9" x14ac:dyDescent="0.25">
      <c r="I72" s="4">
        <f t="shared" si="2"/>
        <v>0</v>
      </c>
    </row>
    <row r="73" spans="9:9" x14ac:dyDescent="0.25">
      <c r="I73" s="4">
        <f t="shared" si="2"/>
        <v>0</v>
      </c>
    </row>
    <row r="74" spans="9:9" x14ac:dyDescent="0.25">
      <c r="I74" s="4">
        <f t="shared" si="2"/>
        <v>0</v>
      </c>
    </row>
    <row r="75" spans="9:9" x14ac:dyDescent="0.25">
      <c r="I75" s="4">
        <f t="shared" si="2"/>
        <v>0</v>
      </c>
    </row>
    <row r="76" spans="9:9" x14ac:dyDescent="0.25">
      <c r="I76" s="4">
        <f t="shared" si="2"/>
        <v>0</v>
      </c>
    </row>
    <row r="77" spans="9:9" x14ac:dyDescent="0.25">
      <c r="I77" s="4">
        <f t="shared" si="2"/>
        <v>0</v>
      </c>
    </row>
    <row r="78" spans="9:9" x14ac:dyDescent="0.25">
      <c r="I78" s="4">
        <f t="shared" si="2"/>
        <v>0</v>
      </c>
    </row>
    <row r="79" spans="9:9" x14ac:dyDescent="0.25">
      <c r="I79" s="4">
        <f t="shared" si="2"/>
        <v>0</v>
      </c>
    </row>
    <row r="80" spans="9:9" x14ac:dyDescent="0.25">
      <c r="I80" s="4">
        <f t="shared" si="2"/>
        <v>0</v>
      </c>
    </row>
    <row r="81" spans="9:9" x14ac:dyDescent="0.25">
      <c r="I81" s="4">
        <f t="shared" si="2"/>
        <v>0</v>
      </c>
    </row>
    <row r="82" spans="9:9" x14ac:dyDescent="0.25">
      <c r="I82" s="4">
        <f t="shared" si="2"/>
        <v>0</v>
      </c>
    </row>
    <row r="83" spans="9:9" x14ac:dyDescent="0.25">
      <c r="I83" s="4">
        <f t="shared" si="2"/>
        <v>0</v>
      </c>
    </row>
    <row r="84" spans="9:9" x14ac:dyDescent="0.25">
      <c r="I84" s="4">
        <f t="shared" si="2"/>
        <v>0</v>
      </c>
    </row>
    <row r="85" spans="9:9" x14ac:dyDescent="0.25">
      <c r="I85" s="4">
        <f t="shared" si="2"/>
        <v>0</v>
      </c>
    </row>
    <row r="86" spans="9:9" x14ac:dyDescent="0.25">
      <c r="I86" s="4">
        <f t="shared" si="2"/>
        <v>0</v>
      </c>
    </row>
    <row r="87" spans="9:9" x14ac:dyDescent="0.25">
      <c r="I87" s="4">
        <f t="shared" si="2"/>
        <v>0</v>
      </c>
    </row>
    <row r="88" spans="9:9" x14ac:dyDescent="0.25">
      <c r="I88" s="4">
        <f t="shared" si="2"/>
        <v>0</v>
      </c>
    </row>
    <row r="89" spans="9:9" x14ac:dyDescent="0.25">
      <c r="I89" s="4">
        <f t="shared" si="2"/>
        <v>0</v>
      </c>
    </row>
  </sheetData>
  <autoFilter ref="A1:F39">
    <sortState ref="A2:F40">
      <sortCondition ref="A1:A40"/>
    </sortState>
  </autoFilter>
  <conditionalFormatting sqref="D1:D1048576">
    <cfRule type="cellIs" dxfId="282" priority="1" operator="equal">
      <formula>"ABONO"</formula>
    </cfRule>
    <cfRule type="cellIs" dxfId="281" priority="8" operator="equal">
      <formula>"PAGADO"</formula>
    </cfRule>
    <cfRule type="cellIs" dxfId="280" priority="9" operator="equal">
      <formula>"PENDIENTE"</formula>
    </cfRule>
    <cfRule type="cellIs" dxfId="279" priority="10" operator="equal">
      <formula>"""PENDIENTE"""</formula>
    </cfRule>
  </conditionalFormatting>
  <conditionalFormatting sqref="E1:E1048576">
    <cfRule type="cellIs" dxfId="278" priority="6" operator="equal">
      <formula>"FACTURADO"</formula>
    </cfRule>
    <cfRule type="cellIs" dxfId="277" priority="7" operator="equal">
      <formula>"NO FACTURADO"</formula>
    </cfRule>
  </conditionalFormatting>
  <conditionalFormatting sqref="F1:F1048576">
    <cfRule type="cellIs" dxfId="276" priority="3" operator="equal">
      <formula>"DELIS"</formula>
    </cfRule>
    <cfRule type="cellIs" dxfId="275" priority="4" operator="equal">
      <formula>"CESAR"</formula>
    </cfRule>
    <cfRule type="cellIs" dxfId="274" priority="5" operator="equal">
      <formula>"OMAR"</formula>
    </cfRule>
  </conditionalFormatting>
  <conditionalFormatting sqref="H1:H1048576">
    <cfRule type="cellIs" dxfId="273" priority="2" operator="equal">
      <formula>"PENDIENTE"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K43"/>
  <sheetViews>
    <sheetView zoomScaleNormal="100"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44130</v>
      </c>
      <c r="B2" t="s">
        <v>20</v>
      </c>
      <c r="C2" s="4">
        <v>15000</v>
      </c>
      <c r="D2" s="10" t="s">
        <v>157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2" si="0">IF(D2="PENDIENTE",C2,0)</f>
        <v>0</v>
      </c>
      <c r="J2" s="4">
        <f>SUM(I:I)</f>
        <v>58000</v>
      </c>
      <c r="K2" s="11" t="s">
        <v>121</v>
      </c>
    </row>
    <row r="3" spans="1:11" x14ac:dyDescent="0.25">
      <c r="A3" s="2">
        <v>44273</v>
      </c>
      <c r="B3" t="s">
        <v>177</v>
      </c>
      <c r="C3" s="4">
        <v>3500</v>
      </c>
      <c r="D3" s="10" t="s">
        <v>157</v>
      </c>
      <c r="E3" t="s">
        <v>22</v>
      </c>
      <c r="F3" t="s">
        <v>25</v>
      </c>
      <c r="I3" s="4">
        <f t="shared" si="0"/>
        <v>0</v>
      </c>
    </row>
    <row r="4" spans="1:11" x14ac:dyDescent="0.25">
      <c r="A4" s="2">
        <v>44302</v>
      </c>
      <c r="B4" t="s">
        <v>220</v>
      </c>
      <c r="C4" s="4">
        <v>20000</v>
      </c>
      <c r="D4" t="s">
        <v>157</v>
      </c>
      <c r="E4" t="s">
        <v>22</v>
      </c>
      <c r="F4" t="s">
        <v>25</v>
      </c>
      <c r="I4" s="4">
        <f t="shared" si="0"/>
        <v>0</v>
      </c>
    </row>
    <row r="5" spans="1:11" x14ac:dyDescent="0.25">
      <c r="A5" s="2">
        <v>44310</v>
      </c>
      <c r="B5" t="s">
        <v>232</v>
      </c>
      <c r="C5" s="4">
        <v>13500</v>
      </c>
      <c r="D5" s="12" t="s">
        <v>157</v>
      </c>
      <c r="E5" s="12" t="s">
        <v>22</v>
      </c>
      <c r="F5" s="12" t="s">
        <v>25</v>
      </c>
      <c r="I5" s="4">
        <f t="shared" si="0"/>
        <v>0</v>
      </c>
    </row>
    <row r="6" spans="1:11" x14ac:dyDescent="0.25">
      <c r="A6" s="2">
        <v>44336</v>
      </c>
      <c r="B6" t="s">
        <v>255</v>
      </c>
      <c r="C6" s="4">
        <v>14500</v>
      </c>
      <c r="D6" s="12" t="s">
        <v>157</v>
      </c>
      <c r="E6" s="12" t="s">
        <v>22</v>
      </c>
      <c r="F6" s="12" t="s">
        <v>25</v>
      </c>
      <c r="I6" s="4">
        <f t="shared" si="0"/>
        <v>0</v>
      </c>
    </row>
    <row r="7" spans="1:11" x14ac:dyDescent="0.25">
      <c r="A7" s="2">
        <v>44362</v>
      </c>
      <c r="B7" t="s">
        <v>290</v>
      </c>
      <c r="C7" s="4">
        <v>18000</v>
      </c>
      <c r="D7" s="12" t="s">
        <v>157</v>
      </c>
      <c r="E7" s="12" t="s">
        <v>22</v>
      </c>
      <c r="F7" t="s">
        <v>10</v>
      </c>
      <c r="I7" s="4">
        <f t="shared" si="0"/>
        <v>0</v>
      </c>
    </row>
    <row r="8" spans="1:11" x14ac:dyDescent="0.25">
      <c r="A8" s="2">
        <v>44383</v>
      </c>
      <c r="B8" t="s">
        <v>353</v>
      </c>
      <c r="C8" s="4">
        <v>5000</v>
      </c>
      <c r="D8" s="12" t="s">
        <v>157</v>
      </c>
      <c r="E8" s="12" t="s">
        <v>22</v>
      </c>
      <c r="F8" t="s">
        <v>25</v>
      </c>
      <c r="I8" s="4">
        <f t="shared" si="0"/>
        <v>0</v>
      </c>
    </row>
    <row r="9" spans="1:11" x14ac:dyDescent="0.25">
      <c r="A9" s="2">
        <v>44406</v>
      </c>
      <c r="B9" t="s">
        <v>331</v>
      </c>
      <c r="C9" s="4">
        <v>36000</v>
      </c>
      <c r="D9" s="12" t="s">
        <v>157</v>
      </c>
      <c r="E9" s="12" t="s">
        <v>22</v>
      </c>
      <c r="F9" t="s">
        <v>25</v>
      </c>
      <c r="I9" s="4">
        <f t="shared" si="0"/>
        <v>0</v>
      </c>
    </row>
    <row r="10" spans="1:11" x14ac:dyDescent="0.25">
      <c r="A10" s="2">
        <v>44448</v>
      </c>
      <c r="B10" t="s">
        <v>376</v>
      </c>
      <c r="C10" s="4">
        <v>21000</v>
      </c>
      <c r="D10" s="12" t="s">
        <v>157</v>
      </c>
      <c r="E10" s="12" t="s">
        <v>218</v>
      </c>
      <c r="F10" t="s">
        <v>25</v>
      </c>
      <c r="I10" s="4">
        <f t="shared" si="0"/>
        <v>0</v>
      </c>
    </row>
    <row r="11" spans="1:11" x14ac:dyDescent="0.25">
      <c r="A11" s="2">
        <v>44467</v>
      </c>
      <c r="B11" t="s">
        <v>383</v>
      </c>
      <c r="C11" s="4">
        <v>28000</v>
      </c>
      <c r="D11" s="12" t="s">
        <v>26</v>
      </c>
      <c r="E11" s="12" t="s">
        <v>218</v>
      </c>
      <c r="F11" t="s">
        <v>25</v>
      </c>
      <c r="I11" s="4">
        <f t="shared" si="0"/>
        <v>0</v>
      </c>
    </row>
    <row r="12" spans="1:11" x14ac:dyDescent="0.25">
      <c r="A12" s="2">
        <v>44483</v>
      </c>
      <c r="B12" t="s">
        <v>397</v>
      </c>
      <c r="C12" s="4">
        <v>29000</v>
      </c>
      <c r="D12" s="12" t="s">
        <v>157</v>
      </c>
      <c r="E12" s="12" t="s">
        <v>22</v>
      </c>
      <c r="F12" t="s">
        <v>25</v>
      </c>
      <c r="I12" s="4">
        <f t="shared" si="0"/>
        <v>0</v>
      </c>
    </row>
    <row r="13" spans="1:11" x14ac:dyDescent="0.25">
      <c r="A13" s="2">
        <v>44550</v>
      </c>
      <c r="B13" t="s">
        <v>457</v>
      </c>
      <c r="C13" s="4">
        <v>30000</v>
      </c>
      <c r="D13" s="12" t="s">
        <v>157</v>
      </c>
      <c r="E13" s="12" t="s">
        <v>458</v>
      </c>
      <c r="F13" t="s">
        <v>25</v>
      </c>
      <c r="I13" s="4">
        <f t="shared" si="0"/>
        <v>0</v>
      </c>
    </row>
    <row r="14" spans="1:11" x14ac:dyDescent="0.25">
      <c r="A14" s="2">
        <v>44560</v>
      </c>
      <c r="B14" t="s">
        <v>472</v>
      </c>
      <c r="C14" s="4">
        <v>130000</v>
      </c>
      <c r="D14" s="12" t="s">
        <v>26</v>
      </c>
      <c r="E14" s="12" t="s">
        <v>458</v>
      </c>
      <c r="F14" t="s">
        <v>25</v>
      </c>
      <c r="I14" s="4">
        <f t="shared" si="0"/>
        <v>0</v>
      </c>
    </row>
    <row r="15" spans="1:11" x14ac:dyDescent="0.25">
      <c r="A15" s="2">
        <v>44589</v>
      </c>
      <c r="B15" t="s">
        <v>519</v>
      </c>
      <c r="C15" s="4">
        <v>5000</v>
      </c>
      <c r="D15" s="12" t="s">
        <v>157</v>
      </c>
      <c r="E15" s="12" t="s">
        <v>218</v>
      </c>
      <c r="F15" t="s">
        <v>25</v>
      </c>
      <c r="I15" s="4">
        <f t="shared" si="0"/>
        <v>0</v>
      </c>
    </row>
    <row r="16" spans="1:11" x14ac:dyDescent="0.25">
      <c r="A16" s="2">
        <v>44608</v>
      </c>
      <c r="B16" t="s">
        <v>561</v>
      </c>
      <c r="C16" s="4">
        <v>10000</v>
      </c>
      <c r="D16" s="12" t="s">
        <v>470</v>
      </c>
      <c r="E16" s="12" t="s">
        <v>218</v>
      </c>
      <c r="F16" t="s">
        <v>25</v>
      </c>
      <c r="I16" s="4">
        <f t="shared" si="0"/>
        <v>0</v>
      </c>
    </row>
    <row r="17" spans="1:9" x14ac:dyDescent="0.25">
      <c r="A17" s="2">
        <v>44663</v>
      </c>
      <c r="B17" t="s">
        <v>591</v>
      </c>
      <c r="C17" s="4">
        <v>10000</v>
      </c>
      <c r="D17" s="12" t="s">
        <v>157</v>
      </c>
      <c r="F17" t="s">
        <v>10</v>
      </c>
      <c r="I17" s="4">
        <f t="shared" si="0"/>
        <v>0</v>
      </c>
    </row>
    <row r="18" spans="1:9" x14ac:dyDescent="0.25">
      <c r="A18" s="2">
        <v>44742</v>
      </c>
      <c r="B18" t="s">
        <v>651</v>
      </c>
      <c r="C18" s="4">
        <v>40000</v>
      </c>
      <c r="D18" s="12" t="s">
        <v>157</v>
      </c>
      <c r="F18" t="s">
        <v>229</v>
      </c>
      <c r="I18" s="4">
        <f t="shared" si="0"/>
        <v>0</v>
      </c>
    </row>
    <row r="19" spans="1:9" x14ac:dyDescent="0.25">
      <c r="A19" s="2">
        <v>44802</v>
      </c>
      <c r="B19" t="s">
        <v>713</v>
      </c>
      <c r="C19" s="4">
        <v>50000</v>
      </c>
      <c r="D19" s="12" t="s">
        <v>157</v>
      </c>
      <c r="F19" t="s">
        <v>25</v>
      </c>
      <c r="I19" s="4">
        <f t="shared" si="0"/>
        <v>0</v>
      </c>
    </row>
    <row r="20" spans="1:9" x14ac:dyDescent="0.25">
      <c r="A20" s="2">
        <v>44812</v>
      </c>
      <c r="B20" t="s">
        <v>735</v>
      </c>
      <c r="C20" s="4">
        <v>50000</v>
      </c>
      <c r="D20" s="12" t="s">
        <v>157</v>
      </c>
      <c r="F20" t="s">
        <v>25</v>
      </c>
      <c r="I20" s="4">
        <f t="shared" si="0"/>
        <v>0</v>
      </c>
    </row>
    <row r="21" spans="1:9" x14ac:dyDescent="0.25">
      <c r="A21" s="2">
        <v>44846</v>
      </c>
      <c r="B21" t="s">
        <v>758</v>
      </c>
      <c r="C21" s="4">
        <v>8000</v>
      </c>
      <c r="D21" s="12" t="s">
        <v>157</v>
      </c>
      <c r="F21" t="s">
        <v>25</v>
      </c>
      <c r="I21" s="4">
        <f t="shared" si="0"/>
        <v>0</v>
      </c>
    </row>
    <row r="22" spans="1:9" x14ac:dyDescent="0.25">
      <c r="A22" s="2">
        <v>44843</v>
      </c>
      <c r="B22" t="s">
        <v>818</v>
      </c>
      <c r="C22" s="4">
        <v>15000</v>
      </c>
      <c r="D22" s="12" t="s">
        <v>157</v>
      </c>
      <c r="F22" t="s">
        <v>52</v>
      </c>
      <c r="I22" s="4">
        <f t="shared" si="0"/>
        <v>0</v>
      </c>
    </row>
    <row r="23" spans="1:9" x14ac:dyDescent="0.25">
      <c r="A23" s="2">
        <v>44910</v>
      </c>
      <c r="B23" t="s">
        <v>825</v>
      </c>
      <c r="C23" s="4">
        <v>30000</v>
      </c>
      <c r="D23" s="12" t="s">
        <v>157</v>
      </c>
      <c r="F23" t="s">
        <v>229</v>
      </c>
      <c r="I23" s="4">
        <f t="shared" si="0"/>
        <v>0</v>
      </c>
    </row>
    <row r="24" spans="1:9" x14ac:dyDescent="0.25">
      <c r="A24" s="2">
        <v>44917</v>
      </c>
      <c r="B24" t="s">
        <v>837</v>
      </c>
      <c r="C24" s="4">
        <v>25000</v>
      </c>
      <c r="D24" s="12" t="s">
        <v>157</v>
      </c>
      <c r="F24" t="s">
        <v>229</v>
      </c>
      <c r="I24" s="4">
        <f t="shared" si="0"/>
        <v>0</v>
      </c>
    </row>
    <row r="25" spans="1:9" x14ac:dyDescent="0.25">
      <c r="A25" s="2">
        <v>45037</v>
      </c>
      <c r="B25" t="s">
        <v>939</v>
      </c>
      <c r="C25" s="4">
        <v>18000</v>
      </c>
      <c r="D25" s="12" t="s">
        <v>157</v>
      </c>
      <c r="F25" t="s">
        <v>270</v>
      </c>
      <c r="I25" s="4">
        <f t="shared" si="0"/>
        <v>0</v>
      </c>
    </row>
    <row r="26" spans="1:9" x14ac:dyDescent="0.25">
      <c r="A26" s="2">
        <v>45048</v>
      </c>
      <c r="B26" t="s">
        <v>946</v>
      </c>
      <c r="C26" s="4">
        <v>18000</v>
      </c>
      <c r="D26" s="12" t="s">
        <v>157</v>
      </c>
      <c r="I26" s="4">
        <f t="shared" si="0"/>
        <v>0</v>
      </c>
    </row>
    <row r="27" spans="1:9" x14ac:dyDescent="0.25">
      <c r="A27" s="2">
        <v>45051</v>
      </c>
      <c r="B27" t="s">
        <v>956</v>
      </c>
      <c r="C27" s="4">
        <v>25000</v>
      </c>
      <c r="D27" s="12" t="s">
        <v>157</v>
      </c>
      <c r="I27" s="4">
        <f t="shared" si="0"/>
        <v>0</v>
      </c>
    </row>
    <row r="28" spans="1:9" x14ac:dyDescent="0.25">
      <c r="A28" s="2">
        <v>45154</v>
      </c>
      <c r="B28" t="s">
        <v>1068</v>
      </c>
      <c r="C28" s="4">
        <v>22000</v>
      </c>
      <c r="D28" s="12" t="s">
        <v>157</v>
      </c>
      <c r="I28" s="4">
        <f t="shared" si="0"/>
        <v>0</v>
      </c>
    </row>
    <row r="29" spans="1:9" x14ac:dyDescent="0.25">
      <c r="A29" s="2">
        <v>45174</v>
      </c>
      <c r="B29" t="s">
        <v>1081</v>
      </c>
      <c r="C29" s="4">
        <v>15000</v>
      </c>
      <c r="D29" s="12" t="s">
        <v>157</v>
      </c>
      <c r="I29" s="4">
        <f t="shared" si="0"/>
        <v>0</v>
      </c>
    </row>
    <row r="30" spans="1:9" x14ac:dyDescent="0.25">
      <c r="A30" s="2">
        <v>45215</v>
      </c>
      <c r="B30" t="s">
        <v>358</v>
      </c>
      <c r="C30" s="4">
        <v>42000</v>
      </c>
      <c r="D30" s="12" t="s">
        <v>157</v>
      </c>
      <c r="F30" t="s">
        <v>25</v>
      </c>
      <c r="I30" s="4">
        <f t="shared" si="0"/>
        <v>0</v>
      </c>
    </row>
    <row r="31" spans="1:9" x14ac:dyDescent="0.25">
      <c r="A31" s="2">
        <v>45232</v>
      </c>
      <c r="B31" t="s">
        <v>1150</v>
      </c>
      <c r="C31" s="4">
        <v>14000</v>
      </c>
      <c r="D31" s="12" t="s">
        <v>157</v>
      </c>
      <c r="F31" t="s">
        <v>25</v>
      </c>
      <c r="I31" s="4">
        <f t="shared" si="0"/>
        <v>0</v>
      </c>
    </row>
    <row r="32" spans="1:9" x14ac:dyDescent="0.25">
      <c r="A32" s="2">
        <v>45237</v>
      </c>
      <c r="B32" t="s">
        <v>1157</v>
      </c>
      <c r="C32" s="4">
        <v>19500</v>
      </c>
      <c r="D32" s="12" t="s">
        <v>157</v>
      </c>
      <c r="F32" t="s">
        <v>25</v>
      </c>
      <c r="I32" s="4">
        <f t="shared" si="0"/>
        <v>0</v>
      </c>
    </row>
    <row r="33" spans="1:9" x14ac:dyDescent="0.25">
      <c r="A33" s="2">
        <v>45254</v>
      </c>
      <c r="B33" t="s">
        <v>1174</v>
      </c>
      <c r="C33" s="4">
        <v>26000</v>
      </c>
      <c r="D33" s="12" t="s">
        <v>157</v>
      </c>
      <c r="F33" t="s">
        <v>25</v>
      </c>
      <c r="I33" s="4">
        <f t="shared" si="0"/>
        <v>0</v>
      </c>
    </row>
    <row r="34" spans="1:9" x14ac:dyDescent="0.25">
      <c r="A34" s="2">
        <v>45265</v>
      </c>
      <c r="B34" t="s">
        <v>1186</v>
      </c>
      <c r="C34" s="4">
        <v>13000</v>
      </c>
      <c r="D34" s="12" t="s">
        <v>157</v>
      </c>
      <c r="I34" s="4">
        <f t="shared" si="0"/>
        <v>0</v>
      </c>
    </row>
    <row r="35" spans="1:9" x14ac:dyDescent="0.25">
      <c r="A35" s="2">
        <v>45341</v>
      </c>
      <c r="B35" t="s">
        <v>1255</v>
      </c>
      <c r="C35" s="4">
        <v>51000</v>
      </c>
      <c r="D35" s="12" t="s">
        <v>157</v>
      </c>
      <c r="I35" s="4">
        <f t="shared" si="0"/>
        <v>0</v>
      </c>
    </row>
    <row r="36" spans="1:9" x14ac:dyDescent="0.25">
      <c r="A36" s="2">
        <v>45443</v>
      </c>
      <c r="B36" t="s">
        <v>1351</v>
      </c>
      <c r="C36" s="4">
        <v>30000</v>
      </c>
      <c r="D36" s="12" t="s">
        <v>157</v>
      </c>
      <c r="F36" t="s">
        <v>229</v>
      </c>
      <c r="I36" s="4">
        <f t="shared" si="0"/>
        <v>0</v>
      </c>
    </row>
    <row r="37" spans="1:9" x14ac:dyDescent="0.25">
      <c r="A37" s="2">
        <v>45517</v>
      </c>
      <c r="B37" t="s">
        <v>783</v>
      </c>
      <c r="C37" s="4">
        <v>42000</v>
      </c>
      <c r="D37" s="12" t="s">
        <v>157</v>
      </c>
      <c r="I37" s="4">
        <f t="shared" si="0"/>
        <v>0</v>
      </c>
    </row>
    <row r="38" spans="1:9" x14ac:dyDescent="0.25">
      <c r="A38" s="2">
        <v>45520</v>
      </c>
      <c r="B38" t="s">
        <v>1412</v>
      </c>
      <c r="C38" s="4">
        <v>52500</v>
      </c>
      <c r="D38" s="12" t="s">
        <v>157</v>
      </c>
      <c r="I38" s="4">
        <f t="shared" si="0"/>
        <v>0</v>
      </c>
    </row>
    <row r="39" spans="1:9" x14ac:dyDescent="0.25">
      <c r="A39" s="2">
        <v>45540</v>
      </c>
      <c r="B39" t="s">
        <v>1430</v>
      </c>
      <c r="C39" s="4">
        <v>20000</v>
      </c>
      <c r="D39" s="12" t="s">
        <v>157</v>
      </c>
      <c r="I39" s="4">
        <f t="shared" si="0"/>
        <v>0</v>
      </c>
    </row>
    <row r="40" spans="1:9" x14ac:dyDescent="0.25">
      <c r="A40" s="2">
        <v>45569</v>
      </c>
      <c r="B40" t="s">
        <v>1449</v>
      </c>
      <c r="C40" s="4">
        <v>35000</v>
      </c>
      <c r="D40" s="12" t="s">
        <v>470</v>
      </c>
      <c r="I40" s="4">
        <f t="shared" si="0"/>
        <v>0</v>
      </c>
    </row>
    <row r="41" spans="1:9" x14ac:dyDescent="0.25">
      <c r="A41" s="2">
        <v>45609</v>
      </c>
      <c r="B41" t="s">
        <v>1512</v>
      </c>
      <c r="C41" s="4">
        <v>40000</v>
      </c>
      <c r="D41" s="12" t="s">
        <v>7</v>
      </c>
      <c r="I41" s="4">
        <f t="shared" si="0"/>
        <v>40000</v>
      </c>
    </row>
    <row r="42" spans="1:9" x14ac:dyDescent="0.25">
      <c r="A42" s="2">
        <v>45639</v>
      </c>
      <c r="B42" t="s">
        <v>1513</v>
      </c>
      <c r="C42" s="4">
        <v>18000</v>
      </c>
      <c r="D42" s="12" t="s">
        <v>364</v>
      </c>
      <c r="I42" s="4">
        <f t="shared" si="0"/>
        <v>18000</v>
      </c>
    </row>
    <row r="43" spans="1:9" x14ac:dyDescent="0.25">
      <c r="A43" s="2">
        <v>45639</v>
      </c>
      <c r="B43" t="s">
        <v>1514</v>
      </c>
      <c r="C43" s="4">
        <v>15000</v>
      </c>
      <c r="D43" s="12" t="s">
        <v>364</v>
      </c>
    </row>
  </sheetData>
  <autoFilter ref="A1:F40"/>
  <conditionalFormatting sqref="D1:D1048576">
    <cfRule type="cellIs" dxfId="272" priority="6" operator="equal">
      <formula>"PAGADO"</formula>
    </cfRule>
    <cfRule type="cellIs" dxfId="271" priority="7" operator="equal">
      <formula>"PENDIENTE"</formula>
    </cfRule>
    <cfRule type="cellIs" dxfId="270" priority="8" operator="equal">
      <formula>"""PENDIENTE"""</formula>
    </cfRule>
  </conditionalFormatting>
  <conditionalFormatting sqref="E1:E1048576">
    <cfRule type="cellIs" dxfId="269" priority="4" operator="equal">
      <formula>"FACTURADO"</formula>
    </cfRule>
    <cfRule type="cellIs" dxfId="268" priority="5" operator="equal">
      <formula>"NO FACTURADO"</formula>
    </cfRule>
  </conditionalFormatting>
  <conditionalFormatting sqref="F1:F1048576">
    <cfRule type="cellIs" dxfId="267" priority="1" operator="equal">
      <formula>"DELIS"</formula>
    </cfRule>
    <cfRule type="cellIs" dxfId="266" priority="2" operator="equal">
      <formula>"CESAR"</formula>
    </cfRule>
    <cfRule type="cellIs" dxfId="265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K40"/>
  <sheetViews>
    <sheetView workbookViewId="0">
      <selection activeCell="L2" sqref="L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C2" s="4">
        <v>466000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466000</v>
      </c>
      <c r="J2" s="4">
        <f>SUM(I:I)</f>
        <v>466000</v>
      </c>
      <c r="K2" s="11" t="s">
        <v>121</v>
      </c>
    </row>
    <row r="3" spans="1:11" x14ac:dyDescent="0.25">
      <c r="A3" s="2"/>
      <c r="D3" s="10"/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264" priority="7" operator="equal">
      <formula>"PAGADO"</formula>
    </cfRule>
    <cfRule type="cellIs" dxfId="263" priority="8" operator="equal">
      <formula>"PENDIENTE"</formula>
    </cfRule>
    <cfRule type="cellIs" dxfId="262" priority="9" operator="equal">
      <formula>"""PENDIENTE"""</formula>
    </cfRule>
  </conditionalFormatting>
  <conditionalFormatting sqref="E1:E1048576">
    <cfRule type="cellIs" dxfId="261" priority="5" operator="equal">
      <formula>"FACTURADO"</formula>
    </cfRule>
    <cfRule type="cellIs" dxfId="260" priority="6" operator="equal">
      <formula>"NO FACTURADO"</formula>
    </cfRule>
  </conditionalFormatting>
  <conditionalFormatting sqref="F1:F1048576">
    <cfRule type="cellIs" dxfId="259" priority="1" operator="equal">
      <formula>"NATALIA"</formula>
    </cfRule>
    <cfRule type="cellIs" dxfId="258" priority="2" operator="equal">
      <formula>"DELIS"</formula>
    </cfRule>
    <cfRule type="cellIs" dxfId="257" priority="3" operator="equal">
      <formula>"CESAR"</formula>
    </cfRule>
    <cfRule type="cellIs" dxfId="25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tabColor rgb="FFFFFF00"/>
  </sheetPr>
  <dimension ref="A1:K61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2" si="0">IF(D2="PENDIENTE",C2,0)</f>
        <v>0</v>
      </c>
      <c r="J2" s="4">
        <f>SUM(I:I)</f>
        <v>95000</v>
      </c>
      <c r="K2" s="11" t="s">
        <v>121</v>
      </c>
    </row>
    <row r="3" spans="1:11" x14ac:dyDescent="0.25">
      <c r="A3" s="2">
        <v>44266</v>
      </c>
      <c r="B3" t="s">
        <v>222</v>
      </c>
      <c r="C3" s="4">
        <v>806300</v>
      </c>
      <c r="D3" s="10" t="s">
        <v>26</v>
      </c>
      <c r="E3" t="s">
        <v>22</v>
      </c>
      <c r="I3" s="4">
        <f t="shared" si="0"/>
        <v>0</v>
      </c>
    </row>
    <row r="4" spans="1:11" x14ac:dyDescent="0.25">
      <c r="A4" s="2">
        <v>43927</v>
      </c>
      <c r="B4" t="s">
        <v>223</v>
      </c>
      <c r="C4" s="4">
        <v>88400</v>
      </c>
      <c r="D4" t="s">
        <v>26</v>
      </c>
      <c r="E4" t="s">
        <v>22</v>
      </c>
      <c r="I4" s="4">
        <f t="shared" si="0"/>
        <v>0</v>
      </c>
    </row>
    <row r="5" spans="1:11" x14ac:dyDescent="0.25">
      <c r="A5" s="2">
        <v>44302</v>
      </c>
      <c r="B5" t="s">
        <v>224</v>
      </c>
      <c r="C5" s="4">
        <v>90000</v>
      </c>
      <c r="D5" s="12" t="s">
        <v>26</v>
      </c>
      <c r="E5" s="12" t="s">
        <v>22</v>
      </c>
      <c r="I5" s="4">
        <f t="shared" si="0"/>
        <v>0</v>
      </c>
    </row>
    <row r="6" spans="1:11" x14ac:dyDescent="0.25">
      <c r="A6" s="2">
        <v>44483</v>
      </c>
      <c r="B6" t="s">
        <v>394</v>
      </c>
      <c r="C6" s="4">
        <v>87000</v>
      </c>
      <c r="D6" s="12" t="s">
        <v>26</v>
      </c>
      <c r="I6" s="4">
        <f t="shared" si="0"/>
        <v>0</v>
      </c>
    </row>
    <row r="7" spans="1:11" x14ac:dyDescent="0.25">
      <c r="A7" s="2">
        <v>44615</v>
      </c>
      <c r="B7" t="s">
        <v>544</v>
      </c>
      <c r="C7" s="4">
        <v>23500</v>
      </c>
      <c r="D7" s="12" t="s">
        <v>157</v>
      </c>
      <c r="F7" t="s">
        <v>292</v>
      </c>
      <c r="I7" s="4">
        <f t="shared" si="0"/>
        <v>0</v>
      </c>
    </row>
    <row r="8" spans="1:11" x14ac:dyDescent="0.25">
      <c r="A8" s="2">
        <v>44671</v>
      </c>
      <c r="B8" t="s">
        <v>608</v>
      </c>
      <c r="C8" s="4">
        <v>108000</v>
      </c>
      <c r="D8" s="12" t="s">
        <v>26</v>
      </c>
      <c r="E8" t="s">
        <v>613</v>
      </c>
      <c r="F8" t="s">
        <v>10</v>
      </c>
      <c r="I8" s="4">
        <f t="shared" si="0"/>
        <v>0</v>
      </c>
    </row>
    <row r="9" spans="1:11" x14ac:dyDescent="0.25">
      <c r="A9" s="2">
        <v>44678</v>
      </c>
      <c r="B9" t="s">
        <v>609</v>
      </c>
      <c r="C9" s="4">
        <v>149500</v>
      </c>
      <c r="D9" s="12" t="s">
        <v>26</v>
      </c>
      <c r="E9" t="s">
        <v>612</v>
      </c>
      <c r="F9" t="s">
        <v>25</v>
      </c>
      <c r="I9" s="4">
        <f t="shared" si="0"/>
        <v>0</v>
      </c>
    </row>
    <row r="10" spans="1:11" x14ac:dyDescent="0.25">
      <c r="A10" s="2">
        <v>44775</v>
      </c>
      <c r="B10" t="s">
        <v>678</v>
      </c>
      <c r="C10" s="4">
        <v>35000</v>
      </c>
      <c r="D10" s="12" t="s">
        <v>26</v>
      </c>
      <c r="F10" t="s">
        <v>52</v>
      </c>
      <c r="I10" s="4">
        <f t="shared" si="0"/>
        <v>0</v>
      </c>
    </row>
    <row r="11" spans="1:11" x14ac:dyDescent="0.25">
      <c r="A11" s="2">
        <v>44916</v>
      </c>
      <c r="B11" t="s">
        <v>841</v>
      </c>
      <c r="C11" s="4">
        <v>10000</v>
      </c>
      <c r="D11" s="12" t="s">
        <v>26</v>
      </c>
      <c r="F11" t="s">
        <v>10</v>
      </c>
      <c r="I11" s="4">
        <f t="shared" si="0"/>
        <v>0</v>
      </c>
    </row>
    <row r="12" spans="1:11" x14ac:dyDescent="0.25">
      <c r="A12" s="2">
        <v>44918</v>
      </c>
      <c r="B12" t="s">
        <v>842</v>
      </c>
      <c r="C12" s="4">
        <v>70000</v>
      </c>
      <c r="D12" s="12" t="s">
        <v>7</v>
      </c>
      <c r="F12" t="s">
        <v>10</v>
      </c>
      <c r="I12" s="4">
        <f t="shared" si="0"/>
        <v>70000</v>
      </c>
    </row>
    <row r="13" spans="1:11" x14ac:dyDescent="0.25">
      <c r="A13" s="2">
        <v>45029</v>
      </c>
      <c r="B13" t="s">
        <v>931</v>
      </c>
      <c r="C13" s="4">
        <v>60000</v>
      </c>
      <c r="D13" s="12" t="s">
        <v>26</v>
      </c>
      <c r="F13" t="s">
        <v>52</v>
      </c>
      <c r="I13" s="4">
        <f t="shared" si="0"/>
        <v>0</v>
      </c>
    </row>
    <row r="14" spans="1:11" x14ac:dyDescent="0.25">
      <c r="A14" s="2">
        <v>45064</v>
      </c>
      <c r="B14" t="s">
        <v>842</v>
      </c>
      <c r="C14" s="4">
        <v>150000</v>
      </c>
      <c r="D14" s="12" t="s">
        <v>26</v>
      </c>
      <c r="E14" t="s">
        <v>158</v>
      </c>
      <c r="F14" t="s">
        <v>10</v>
      </c>
      <c r="I14" s="4">
        <f t="shared" si="0"/>
        <v>0</v>
      </c>
    </row>
    <row r="15" spans="1:11" x14ac:dyDescent="0.25">
      <c r="A15" s="2">
        <v>45125</v>
      </c>
      <c r="B15" t="s">
        <v>1042</v>
      </c>
      <c r="C15" s="4">
        <v>53000</v>
      </c>
      <c r="D15" s="12" t="s">
        <v>26</v>
      </c>
      <c r="F15" t="s">
        <v>270</v>
      </c>
      <c r="I15" s="4">
        <f t="shared" si="0"/>
        <v>0</v>
      </c>
    </row>
    <row r="16" spans="1:11" x14ac:dyDescent="0.25">
      <c r="A16" s="2">
        <v>45154</v>
      </c>
      <c r="B16" t="s">
        <v>1069</v>
      </c>
      <c r="C16" s="4">
        <v>93000</v>
      </c>
      <c r="D16" s="12" t="s">
        <v>26</v>
      </c>
      <c r="F16" t="s">
        <v>270</v>
      </c>
      <c r="I16" s="4">
        <f t="shared" si="0"/>
        <v>0</v>
      </c>
    </row>
    <row r="17" spans="1:9" x14ac:dyDescent="0.25">
      <c r="A17" s="2">
        <v>45194</v>
      </c>
      <c r="B17" t="s">
        <v>1103</v>
      </c>
      <c r="C17" s="4">
        <v>90000</v>
      </c>
      <c r="D17" s="12" t="s">
        <v>26</v>
      </c>
      <c r="I17" s="4">
        <f t="shared" si="0"/>
        <v>0</v>
      </c>
    </row>
    <row r="18" spans="1:9" x14ac:dyDescent="0.25">
      <c r="A18" s="2">
        <v>45201</v>
      </c>
      <c r="B18" t="s">
        <v>1196</v>
      </c>
      <c r="D18" s="12" t="s">
        <v>7</v>
      </c>
      <c r="I18" s="4">
        <f t="shared" si="0"/>
        <v>0</v>
      </c>
    </row>
    <row r="19" spans="1:9" x14ac:dyDescent="0.25">
      <c r="A19" s="2">
        <v>45204</v>
      </c>
      <c r="B19" t="s">
        <v>1116</v>
      </c>
      <c r="D19" s="12" t="s">
        <v>7</v>
      </c>
      <c r="I19" s="4">
        <f t="shared" si="0"/>
        <v>0</v>
      </c>
    </row>
    <row r="20" spans="1:9" x14ac:dyDescent="0.25">
      <c r="A20" s="2">
        <v>45210</v>
      </c>
      <c r="B20" t="s">
        <v>1117</v>
      </c>
      <c r="C20" s="4">
        <v>25000</v>
      </c>
      <c r="D20" s="12" t="s">
        <v>7</v>
      </c>
      <c r="I20" s="4">
        <f t="shared" si="0"/>
        <v>25000</v>
      </c>
    </row>
    <row r="21" spans="1:9" x14ac:dyDescent="0.25">
      <c r="A21" s="2">
        <v>45210</v>
      </c>
      <c r="B21" t="s">
        <v>1118</v>
      </c>
      <c r="C21" s="4">
        <v>55000</v>
      </c>
      <c r="D21" s="12" t="s">
        <v>26</v>
      </c>
      <c r="I21" s="4">
        <f t="shared" si="0"/>
        <v>0</v>
      </c>
    </row>
    <row r="22" spans="1:9" x14ac:dyDescent="0.25">
      <c r="A22" s="2">
        <v>45224</v>
      </c>
      <c r="B22" t="s">
        <v>1140</v>
      </c>
      <c r="C22" s="4">
        <v>280000</v>
      </c>
      <c r="D22" s="12" t="s">
        <v>26</v>
      </c>
      <c r="F22" t="s">
        <v>270</v>
      </c>
      <c r="I22" s="4">
        <f t="shared" si="0"/>
        <v>0</v>
      </c>
    </row>
    <row r="23" spans="1:9" x14ac:dyDescent="0.25">
      <c r="A23" s="2">
        <v>45235</v>
      </c>
      <c r="B23" t="s">
        <v>1185</v>
      </c>
      <c r="C23" s="4">
        <v>85000</v>
      </c>
      <c r="D23" s="12" t="s">
        <v>26</v>
      </c>
      <c r="I23" s="4">
        <f t="shared" si="0"/>
        <v>0</v>
      </c>
    </row>
    <row r="24" spans="1:9" x14ac:dyDescent="0.25">
      <c r="A24" s="2">
        <v>45274</v>
      </c>
      <c r="B24" t="s">
        <v>1195</v>
      </c>
      <c r="C24" s="4">
        <v>164500</v>
      </c>
      <c r="D24" s="12" t="s">
        <v>157</v>
      </c>
      <c r="I24" s="4">
        <f t="shared" si="0"/>
        <v>0</v>
      </c>
    </row>
    <row r="25" spans="1:9" x14ac:dyDescent="0.25">
      <c r="A25" s="2">
        <v>45583</v>
      </c>
      <c r="B25" t="s">
        <v>1220</v>
      </c>
      <c r="C25" s="4">
        <v>48000</v>
      </c>
      <c r="D25" s="12" t="s">
        <v>157</v>
      </c>
      <c r="I25" s="4">
        <f t="shared" si="0"/>
        <v>0</v>
      </c>
    </row>
    <row r="26" spans="1:9" x14ac:dyDescent="0.25">
      <c r="B26" t="s">
        <v>1225</v>
      </c>
      <c r="C26" s="4">
        <v>48000</v>
      </c>
      <c r="D26" s="12" t="s">
        <v>157</v>
      </c>
      <c r="I26" s="4">
        <f>IF(F28="PENDIENTE",C26,0)</f>
        <v>0</v>
      </c>
    </row>
    <row r="27" spans="1:9" x14ac:dyDescent="0.25">
      <c r="A27" s="2">
        <v>45328</v>
      </c>
      <c r="B27" t="s">
        <v>1239</v>
      </c>
      <c r="C27" s="4">
        <v>10000</v>
      </c>
      <c r="D27" s="12" t="s">
        <v>157</v>
      </c>
      <c r="I27" s="4">
        <f t="shared" si="0"/>
        <v>0</v>
      </c>
    </row>
    <row r="28" spans="1:9" x14ac:dyDescent="0.25">
      <c r="B28" t="s">
        <v>1240</v>
      </c>
      <c r="C28" s="4">
        <v>12000</v>
      </c>
      <c r="D28" s="12" t="s">
        <v>157</v>
      </c>
      <c r="F28" s="12"/>
      <c r="I28" s="4">
        <f t="shared" si="0"/>
        <v>0</v>
      </c>
    </row>
    <row r="29" spans="1:9" x14ac:dyDescent="0.25">
      <c r="B29" t="s">
        <v>1241</v>
      </c>
      <c r="C29" s="4">
        <v>6000</v>
      </c>
      <c r="D29" s="12" t="s">
        <v>157</v>
      </c>
      <c r="I29" s="4">
        <f t="shared" si="0"/>
        <v>0</v>
      </c>
    </row>
    <row r="30" spans="1:9" x14ac:dyDescent="0.25">
      <c r="A30" s="2">
        <v>45338</v>
      </c>
      <c r="B30" t="s">
        <v>1253</v>
      </c>
      <c r="C30" s="4">
        <v>79000</v>
      </c>
      <c r="D30" s="12" t="s">
        <v>157</v>
      </c>
      <c r="I30" s="4">
        <f t="shared" si="0"/>
        <v>0</v>
      </c>
    </row>
    <row r="31" spans="1:9" x14ac:dyDescent="0.25">
      <c r="A31" s="2">
        <v>45343</v>
      </c>
      <c r="B31" t="s">
        <v>1259</v>
      </c>
      <c r="C31" s="4">
        <v>6000</v>
      </c>
      <c r="D31" s="12" t="s">
        <v>26</v>
      </c>
      <c r="I31" s="4">
        <f t="shared" si="0"/>
        <v>0</v>
      </c>
    </row>
    <row r="32" spans="1:9" x14ac:dyDescent="0.25">
      <c r="A32" s="2">
        <v>45345</v>
      </c>
      <c r="B32" t="s">
        <v>1264</v>
      </c>
      <c r="C32" s="4">
        <v>10000</v>
      </c>
      <c r="D32" s="12" t="s">
        <v>26</v>
      </c>
      <c r="I32" s="4">
        <f t="shared" si="0"/>
        <v>0</v>
      </c>
    </row>
    <row r="33" spans="1:9" x14ac:dyDescent="0.25">
      <c r="B33" t="s">
        <v>1319</v>
      </c>
      <c r="C33" s="4">
        <v>100000</v>
      </c>
      <c r="D33" s="12" t="s">
        <v>26</v>
      </c>
      <c r="I33" s="4">
        <f t="shared" si="0"/>
        <v>0</v>
      </c>
    </row>
    <row r="34" spans="1:9" x14ac:dyDescent="0.25">
      <c r="B34" t="s">
        <v>592</v>
      </c>
      <c r="C34" s="4">
        <v>60000</v>
      </c>
      <c r="D34" s="12" t="s">
        <v>26</v>
      </c>
      <c r="I34" s="4">
        <f t="shared" si="0"/>
        <v>0</v>
      </c>
    </row>
    <row r="35" spans="1:9" x14ac:dyDescent="0.25">
      <c r="A35" s="2">
        <v>45414</v>
      </c>
      <c r="B35" t="s">
        <v>1325</v>
      </c>
      <c r="C35" s="4">
        <v>22500</v>
      </c>
      <c r="D35" s="12" t="s">
        <v>26</v>
      </c>
      <c r="I35" s="4">
        <f t="shared" si="0"/>
        <v>0</v>
      </c>
    </row>
    <row r="36" spans="1:9" x14ac:dyDescent="0.25">
      <c r="A36" s="2">
        <v>45421</v>
      </c>
      <c r="B36" t="s">
        <v>1327</v>
      </c>
      <c r="C36" s="4">
        <v>72000</v>
      </c>
      <c r="D36" s="12" t="s">
        <v>26</v>
      </c>
      <c r="I36" s="4">
        <f t="shared" si="0"/>
        <v>0</v>
      </c>
    </row>
    <row r="37" spans="1:9" x14ac:dyDescent="0.25">
      <c r="A37" s="2">
        <v>45464</v>
      </c>
      <c r="B37" t="s">
        <v>1374</v>
      </c>
      <c r="C37" s="4">
        <v>17500</v>
      </c>
      <c r="D37" s="12" t="s">
        <v>26</v>
      </c>
      <c r="I37" s="4">
        <f t="shared" si="0"/>
        <v>0</v>
      </c>
    </row>
    <row r="38" spans="1:9" x14ac:dyDescent="0.25">
      <c r="A38" s="2">
        <v>45468</v>
      </c>
      <c r="B38" t="s">
        <v>1377</v>
      </c>
      <c r="C38" s="4">
        <v>45000</v>
      </c>
      <c r="D38" s="12" t="s">
        <v>26</v>
      </c>
      <c r="I38" s="4">
        <f t="shared" si="0"/>
        <v>0</v>
      </c>
    </row>
    <row r="39" spans="1:9" x14ac:dyDescent="0.25">
      <c r="A39" s="2">
        <v>45477</v>
      </c>
      <c r="B39" t="s">
        <v>1385</v>
      </c>
      <c r="C39" s="4">
        <v>20000</v>
      </c>
      <c r="D39" s="12" t="s">
        <v>26</v>
      </c>
      <c r="I39" s="4">
        <f t="shared" si="0"/>
        <v>0</v>
      </c>
    </row>
    <row r="40" spans="1:9" x14ac:dyDescent="0.25">
      <c r="B40" t="s">
        <v>1409</v>
      </c>
      <c r="C40" s="4">
        <v>18500</v>
      </c>
      <c r="D40" s="12" t="s">
        <v>26</v>
      </c>
      <c r="I40" s="4">
        <f t="shared" si="0"/>
        <v>0</v>
      </c>
    </row>
    <row r="41" spans="1:9" x14ac:dyDescent="0.25">
      <c r="A41" s="2">
        <v>45540</v>
      </c>
      <c r="B41" t="s">
        <v>1429</v>
      </c>
      <c r="C41" s="4">
        <v>170000</v>
      </c>
      <c r="D41" s="12" t="s">
        <v>26</v>
      </c>
      <c r="I41" s="4">
        <f t="shared" si="0"/>
        <v>0</v>
      </c>
    </row>
    <row r="42" spans="1:9" x14ac:dyDescent="0.25">
      <c r="A42" s="2">
        <v>45587</v>
      </c>
      <c r="B42" t="s">
        <v>1457</v>
      </c>
      <c r="C42" s="4">
        <v>30000</v>
      </c>
      <c r="D42" s="12" t="s">
        <v>26</v>
      </c>
      <c r="I42" s="4">
        <f t="shared" si="0"/>
        <v>0</v>
      </c>
    </row>
    <row r="43" spans="1:9" x14ac:dyDescent="0.25">
      <c r="B43" t="s">
        <v>1473</v>
      </c>
      <c r="C43" s="4">
        <v>6000</v>
      </c>
      <c r="D43" s="12" t="s">
        <v>26</v>
      </c>
    </row>
    <row r="44" spans="1:9" x14ac:dyDescent="0.25">
      <c r="B44" t="s">
        <v>1474</v>
      </c>
      <c r="C44" s="4">
        <v>6000</v>
      </c>
      <c r="D44" s="12" t="s">
        <v>26</v>
      </c>
    </row>
    <row r="45" spans="1:9" x14ac:dyDescent="0.25">
      <c r="B45" t="s">
        <v>1475</v>
      </c>
      <c r="C45" s="4">
        <v>14000</v>
      </c>
      <c r="D45" s="12" t="s">
        <v>26</v>
      </c>
    </row>
    <row r="46" spans="1:9" x14ac:dyDescent="0.25">
      <c r="B46" t="s">
        <v>1476</v>
      </c>
      <c r="C46" s="4">
        <v>10000</v>
      </c>
      <c r="D46" s="12" t="s">
        <v>26</v>
      </c>
    </row>
    <row r="47" spans="1:9" x14ac:dyDescent="0.25">
      <c r="B47" t="s">
        <v>1477</v>
      </c>
      <c r="C47" s="4">
        <v>20000</v>
      </c>
      <c r="D47" s="12" t="s">
        <v>26</v>
      </c>
    </row>
    <row r="48" spans="1:9" x14ac:dyDescent="0.25">
      <c r="B48" t="s">
        <v>1478</v>
      </c>
      <c r="C48" s="4">
        <v>5000</v>
      </c>
      <c r="D48" s="12" t="s">
        <v>26</v>
      </c>
    </row>
    <row r="49" spans="1:4" x14ac:dyDescent="0.25">
      <c r="B49" t="s">
        <v>1479</v>
      </c>
      <c r="C49" s="4">
        <v>2500</v>
      </c>
      <c r="D49" s="12" t="s">
        <v>26</v>
      </c>
    </row>
    <row r="50" spans="1:4" x14ac:dyDescent="0.25">
      <c r="B50" t="s">
        <v>1480</v>
      </c>
      <c r="C50" s="4">
        <v>13500</v>
      </c>
      <c r="D50" s="12" t="s">
        <v>26</v>
      </c>
    </row>
    <row r="51" spans="1:4" x14ac:dyDescent="0.25">
      <c r="B51" t="s">
        <v>1481</v>
      </c>
      <c r="C51" s="4">
        <v>5000</v>
      </c>
      <c r="D51" s="12" t="s">
        <v>26</v>
      </c>
    </row>
    <row r="52" spans="1:4" x14ac:dyDescent="0.25">
      <c r="A52" s="2">
        <v>45621</v>
      </c>
      <c r="B52" t="s">
        <v>1494</v>
      </c>
      <c r="C52" s="4">
        <v>149000</v>
      </c>
    </row>
    <row r="53" spans="1:4" x14ac:dyDescent="0.25">
      <c r="B53" t="s">
        <v>1505</v>
      </c>
      <c r="C53" s="4">
        <v>14000</v>
      </c>
    </row>
    <row r="54" spans="1:4" x14ac:dyDescent="0.25">
      <c r="B54" t="s">
        <v>1506</v>
      </c>
      <c r="C54" s="4">
        <v>7900</v>
      </c>
    </row>
    <row r="55" spans="1:4" x14ac:dyDescent="0.25">
      <c r="B55" t="s">
        <v>1507</v>
      </c>
      <c r="C55" s="4">
        <v>65000</v>
      </c>
    </row>
    <row r="56" spans="1:4" x14ac:dyDescent="0.25">
      <c r="B56" t="s">
        <v>1508</v>
      </c>
      <c r="C56" s="4">
        <v>10000</v>
      </c>
    </row>
    <row r="57" spans="1:4" x14ac:dyDescent="0.25">
      <c r="B57" t="s">
        <v>1509</v>
      </c>
      <c r="C57" s="4">
        <v>15000</v>
      </c>
    </row>
    <row r="58" spans="1:4" x14ac:dyDescent="0.25">
      <c r="B58" t="s">
        <v>1510</v>
      </c>
      <c r="C58" s="4">
        <v>30000</v>
      </c>
    </row>
    <row r="59" spans="1:4" x14ac:dyDescent="0.25">
      <c r="A59" s="2">
        <v>45299</v>
      </c>
      <c r="B59" t="s">
        <v>1532</v>
      </c>
      <c r="C59" s="4">
        <v>10000</v>
      </c>
      <c r="D59" t="s">
        <v>7</v>
      </c>
    </row>
    <row r="60" spans="1:4" x14ac:dyDescent="0.25">
      <c r="B60" t="s">
        <v>1542</v>
      </c>
      <c r="C60" s="4">
        <v>160000</v>
      </c>
      <c r="D60" t="s">
        <v>7</v>
      </c>
    </row>
    <row r="61" spans="1:4" x14ac:dyDescent="0.25">
      <c r="B61" t="s">
        <v>1543</v>
      </c>
      <c r="C61" s="4">
        <v>172000</v>
      </c>
      <c r="D61" t="s">
        <v>7</v>
      </c>
    </row>
  </sheetData>
  <autoFilter ref="A1:F40"/>
  <conditionalFormatting sqref="F28 D1:D1048576">
    <cfRule type="cellIs" dxfId="255" priority="7" operator="equal">
      <formula>"PAGADO"</formula>
    </cfRule>
    <cfRule type="cellIs" dxfId="254" priority="8" operator="equal">
      <formula>"PENDIENTE"</formula>
    </cfRule>
    <cfRule type="cellIs" dxfId="253" priority="9" operator="equal">
      <formula>"""PENDIENTE"""</formula>
    </cfRule>
  </conditionalFormatting>
  <conditionalFormatting sqref="E1:E1048576">
    <cfRule type="cellIs" dxfId="252" priority="5" operator="equal">
      <formula>"FACTURADO"</formula>
    </cfRule>
    <cfRule type="cellIs" dxfId="251" priority="6" operator="equal">
      <formula>"NO FACTURADO"</formula>
    </cfRule>
  </conditionalFormatting>
  <conditionalFormatting sqref="F1:F27 F29:F1048576">
    <cfRule type="cellIs" dxfId="250" priority="1" operator="equal">
      <formula>"NATALIA"</formula>
    </cfRule>
    <cfRule type="cellIs" dxfId="249" priority="2" operator="equal">
      <formula>"DELIS"</formula>
    </cfRule>
    <cfRule type="cellIs" dxfId="248" priority="3" operator="equal">
      <formula>"CESAR"</formula>
    </cfRule>
    <cfRule type="cellIs" dxfId="247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M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2" max="12" width="29.7109375" customWidth="1"/>
  </cols>
  <sheetData>
    <row r="1" spans="1:13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  <c r="L1" t="s">
        <v>414</v>
      </c>
      <c r="M1" t="s">
        <v>415</v>
      </c>
    </row>
    <row r="2" spans="1:13" x14ac:dyDescent="0.25">
      <c r="A2" s="2"/>
      <c r="B2" t="s">
        <v>20</v>
      </c>
      <c r="C2" s="4">
        <v>88500</v>
      </c>
      <c r="D2" s="10" t="s">
        <v>26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164000</v>
      </c>
      <c r="K2" s="11" t="s">
        <v>121</v>
      </c>
    </row>
    <row r="3" spans="1:13" x14ac:dyDescent="0.25">
      <c r="A3" s="2">
        <v>44265</v>
      </c>
      <c r="B3" t="s">
        <v>326</v>
      </c>
      <c r="C3" s="4">
        <v>24000</v>
      </c>
      <c r="D3" s="10" t="s">
        <v>157</v>
      </c>
      <c r="F3" t="s">
        <v>10</v>
      </c>
      <c r="I3" s="4">
        <f t="shared" si="0"/>
        <v>0</v>
      </c>
    </row>
    <row r="4" spans="1:13" x14ac:dyDescent="0.25">
      <c r="A4" s="2">
        <v>44355</v>
      </c>
      <c r="B4" t="s">
        <v>274</v>
      </c>
      <c r="C4" s="4">
        <v>0</v>
      </c>
      <c r="D4" s="10" t="s">
        <v>157</v>
      </c>
      <c r="E4" t="s">
        <v>22</v>
      </c>
      <c r="F4" t="s">
        <v>10</v>
      </c>
      <c r="I4" s="4">
        <f t="shared" si="0"/>
        <v>0</v>
      </c>
    </row>
    <row r="5" spans="1:13" x14ac:dyDescent="0.25">
      <c r="A5" s="2">
        <v>44364</v>
      </c>
      <c r="B5" t="s">
        <v>294</v>
      </c>
      <c r="C5" s="4">
        <v>0</v>
      </c>
      <c r="D5" s="10" t="s">
        <v>157</v>
      </c>
      <c r="E5" s="12" t="s">
        <v>22</v>
      </c>
      <c r="F5" s="12" t="s">
        <v>10</v>
      </c>
      <c r="I5" s="4">
        <f t="shared" si="0"/>
        <v>0</v>
      </c>
    </row>
    <row r="6" spans="1:13" x14ac:dyDescent="0.25">
      <c r="A6" s="2">
        <v>44371</v>
      </c>
      <c r="B6" t="s">
        <v>342</v>
      </c>
      <c r="C6" s="4">
        <v>9000</v>
      </c>
      <c r="D6" s="12" t="s">
        <v>26</v>
      </c>
      <c r="E6" s="12" t="s">
        <v>22</v>
      </c>
      <c r="F6" s="12" t="s">
        <v>10</v>
      </c>
      <c r="I6" s="4">
        <f t="shared" si="0"/>
        <v>0</v>
      </c>
    </row>
    <row r="7" spans="1:13" x14ac:dyDescent="0.25">
      <c r="A7" s="2">
        <v>44376</v>
      </c>
      <c r="B7" t="s">
        <v>303</v>
      </c>
      <c r="C7" s="4">
        <v>30000</v>
      </c>
      <c r="D7" s="12" t="s">
        <v>157</v>
      </c>
      <c r="F7" s="12" t="s">
        <v>10</v>
      </c>
      <c r="I7" s="4">
        <f t="shared" si="0"/>
        <v>0</v>
      </c>
    </row>
    <row r="8" spans="1:13" x14ac:dyDescent="0.25">
      <c r="A8" s="2">
        <v>44435</v>
      </c>
      <c r="B8" t="s">
        <v>357</v>
      </c>
      <c r="C8" s="4">
        <v>4500</v>
      </c>
      <c r="D8" s="12" t="s">
        <v>26</v>
      </c>
      <c r="E8" t="s">
        <v>22</v>
      </c>
      <c r="F8" s="12" t="s">
        <v>10</v>
      </c>
      <c r="I8" s="4">
        <f t="shared" si="0"/>
        <v>0</v>
      </c>
    </row>
    <row r="9" spans="1:13" x14ac:dyDescent="0.25">
      <c r="A9" s="2">
        <v>44462</v>
      </c>
      <c r="B9" t="s">
        <v>380</v>
      </c>
      <c r="C9" s="4">
        <v>25000</v>
      </c>
      <c r="D9" s="12" t="s">
        <v>157</v>
      </c>
      <c r="E9" t="s">
        <v>22</v>
      </c>
      <c r="F9" s="12" t="s">
        <v>10</v>
      </c>
      <c r="I9" s="4">
        <f t="shared" si="0"/>
        <v>0</v>
      </c>
    </row>
    <row r="10" spans="1:13" x14ac:dyDescent="0.25">
      <c r="A10" s="2">
        <v>44444</v>
      </c>
      <c r="B10" t="s">
        <v>388</v>
      </c>
      <c r="C10" s="4">
        <v>5000</v>
      </c>
      <c r="D10" s="12" t="s">
        <v>26</v>
      </c>
      <c r="E10" t="s">
        <v>22</v>
      </c>
      <c r="F10" s="12" t="s">
        <v>10</v>
      </c>
      <c r="I10" s="4">
        <f t="shared" si="0"/>
        <v>0</v>
      </c>
      <c r="L10">
        <v>30000</v>
      </c>
      <c r="M10" s="2">
        <v>44504</v>
      </c>
    </row>
    <row r="11" spans="1:13" x14ac:dyDescent="0.25">
      <c r="A11" s="2">
        <v>44475</v>
      </c>
      <c r="B11" t="s">
        <v>395</v>
      </c>
      <c r="C11" s="4">
        <v>35000</v>
      </c>
      <c r="D11" s="12" t="s">
        <v>26</v>
      </c>
      <c r="F11" s="12" t="s">
        <v>10</v>
      </c>
      <c r="I11" s="4">
        <f t="shared" si="0"/>
        <v>0</v>
      </c>
    </row>
    <row r="12" spans="1:13" x14ac:dyDescent="0.25">
      <c r="A12" s="2">
        <v>44502</v>
      </c>
      <c r="B12" t="s">
        <v>209</v>
      </c>
      <c r="C12" s="4">
        <v>20000</v>
      </c>
      <c r="D12" s="12" t="s">
        <v>26</v>
      </c>
      <c r="F12" t="s">
        <v>10</v>
      </c>
      <c r="I12" s="4">
        <f t="shared" si="0"/>
        <v>0</v>
      </c>
    </row>
    <row r="13" spans="1:13" x14ac:dyDescent="0.25">
      <c r="A13" s="2">
        <v>44511</v>
      </c>
      <c r="B13" t="s">
        <v>419</v>
      </c>
      <c r="C13" s="4">
        <v>10000</v>
      </c>
      <c r="D13" s="12" t="s">
        <v>26</v>
      </c>
      <c r="F13" t="s">
        <v>229</v>
      </c>
      <c r="I13" s="4">
        <f t="shared" si="0"/>
        <v>0</v>
      </c>
    </row>
    <row r="14" spans="1:13" x14ac:dyDescent="0.25">
      <c r="A14" s="2">
        <v>44512</v>
      </c>
      <c r="B14" t="s">
        <v>420</v>
      </c>
      <c r="C14" s="4">
        <v>7500</v>
      </c>
      <c r="D14" s="12" t="s">
        <v>26</v>
      </c>
      <c r="F14" t="s">
        <v>270</v>
      </c>
      <c r="I14" s="4">
        <f t="shared" si="0"/>
        <v>0</v>
      </c>
    </row>
    <row r="15" spans="1:13" x14ac:dyDescent="0.25">
      <c r="A15" s="2">
        <v>44547</v>
      </c>
      <c r="B15" t="s">
        <v>380</v>
      </c>
      <c r="C15" s="4">
        <v>8500</v>
      </c>
      <c r="D15" s="12" t="s">
        <v>26</v>
      </c>
      <c r="F15" t="s">
        <v>270</v>
      </c>
      <c r="I15" s="4">
        <f t="shared" si="0"/>
        <v>0</v>
      </c>
    </row>
    <row r="16" spans="1:13" x14ac:dyDescent="0.25">
      <c r="A16" s="2">
        <v>44574</v>
      </c>
      <c r="B16" t="s">
        <v>496</v>
      </c>
      <c r="C16" s="4">
        <v>4000</v>
      </c>
      <c r="D16" s="12" t="s">
        <v>26</v>
      </c>
      <c r="F16" t="s">
        <v>270</v>
      </c>
      <c r="I16" s="4">
        <f t="shared" si="0"/>
        <v>0</v>
      </c>
    </row>
    <row r="17" spans="1:13" x14ac:dyDescent="0.25">
      <c r="A17" s="2">
        <v>44594</v>
      </c>
      <c r="B17" t="s">
        <v>524</v>
      </c>
      <c r="C17" s="4">
        <v>17500</v>
      </c>
      <c r="D17" s="12" t="s">
        <v>26</v>
      </c>
      <c r="F17" t="s">
        <v>270</v>
      </c>
      <c r="I17" s="4">
        <f t="shared" si="0"/>
        <v>0</v>
      </c>
    </row>
    <row r="18" spans="1:13" x14ac:dyDescent="0.25">
      <c r="A18" s="2">
        <v>44677</v>
      </c>
      <c r="B18" t="s">
        <v>605</v>
      </c>
      <c r="C18" s="4">
        <v>20000</v>
      </c>
      <c r="D18" s="12" t="s">
        <v>26</v>
      </c>
      <c r="F18" t="s">
        <v>229</v>
      </c>
      <c r="I18" s="4">
        <f t="shared" si="0"/>
        <v>0</v>
      </c>
      <c r="L18">
        <v>30000</v>
      </c>
      <c r="M18" s="2">
        <v>44720</v>
      </c>
    </row>
    <row r="19" spans="1:13" x14ac:dyDescent="0.25">
      <c r="A19" s="2">
        <v>44726</v>
      </c>
      <c r="B19" t="s">
        <v>422</v>
      </c>
      <c r="C19" s="4">
        <v>18000</v>
      </c>
      <c r="D19" s="12" t="s">
        <v>26</v>
      </c>
      <c r="F19" t="s">
        <v>229</v>
      </c>
      <c r="I19" s="4">
        <f>IF(D19="PENDIENTE",C19,0)</f>
        <v>0</v>
      </c>
    </row>
    <row r="20" spans="1:13" x14ac:dyDescent="0.25">
      <c r="A20" s="2">
        <v>44768</v>
      </c>
      <c r="B20" t="s">
        <v>675</v>
      </c>
      <c r="C20" s="4">
        <v>6500</v>
      </c>
      <c r="D20" s="12" t="s">
        <v>26</v>
      </c>
      <c r="F20" t="s">
        <v>270</v>
      </c>
      <c r="I20" s="4">
        <f t="shared" si="0"/>
        <v>0</v>
      </c>
      <c r="L20">
        <v>30000</v>
      </c>
      <c r="M20" s="2">
        <v>44789</v>
      </c>
    </row>
    <row r="21" spans="1:13" x14ac:dyDescent="0.25">
      <c r="A21" s="2">
        <v>44839</v>
      </c>
      <c r="B21" t="s">
        <v>753</v>
      </c>
      <c r="C21" s="4">
        <v>18000</v>
      </c>
      <c r="D21" s="12" t="s">
        <v>26</v>
      </c>
      <c r="F21" t="s">
        <v>52</v>
      </c>
      <c r="I21" s="4">
        <f t="shared" si="0"/>
        <v>0</v>
      </c>
      <c r="L21">
        <v>56500</v>
      </c>
    </row>
    <row r="22" spans="1:13" x14ac:dyDescent="0.25">
      <c r="A22" s="2">
        <v>44935</v>
      </c>
      <c r="B22" t="s">
        <v>855</v>
      </c>
      <c r="C22" s="4">
        <v>6000</v>
      </c>
      <c r="D22" s="12" t="s">
        <v>26</v>
      </c>
      <c r="F22" t="s">
        <v>229</v>
      </c>
      <c r="I22" s="4">
        <f t="shared" si="0"/>
        <v>0</v>
      </c>
    </row>
    <row r="23" spans="1:13" x14ac:dyDescent="0.25">
      <c r="A23" s="2">
        <v>44952</v>
      </c>
      <c r="B23" t="s">
        <v>873</v>
      </c>
      <c r="C23" s="4">
        <v>40000</v>
      </c>
      <c r="D23" s="12" t="s">
        <v>26</v>
      </c>
      <c r="F23" t="s">
        <v>10</v>
      </c>
      <c r="I23" s="4">
        <f t="shared" si="0"/>
        <v>0</v>
      </c>
      <c r="L23" t="s">
        <v>910</v>
      </c>
    </row>
    <row r="24" spans="1:13" x14ac:dyDescent="0.25">
      <c r="A24" s="2">
        <v>45020</v>
      </c>
      <c r="B24" t="s">
        <v>929</v>
      </c>
      <c r="C24" s="4">
        <v>15000</v>
      </c>
      <c r="D24" s="12" t="s">
        <v>26</v>
      </c>
      <c r="F24" t="s">
        <v>10</v>
      </c>
      <c r="G24" t="s">
        <v>188</v>
      </c>
      <c r="I24" s="4">
        <f t="shared" si="0"/>
        <v>0</v>
      </c>
    </row>
    <row r="25" spans="1:13" x14ac:dyDescent="0.25">
      <c r="A25" s="2">
        <v>45034</v>
      </c>
      <c r="B25" t="s">
        <v>936</v>
      </c>
      <c r="C25" s="4">
        <v>15500</v>
      </c>
      <c r="D25" s="12" t="s">
        <v>26</v>
      </c>
      <c r="F25" t="s">
        <v>270</v>
      </c>
      <c r="I25" s="4">
        <f t="shared" si="0"/>
        <v>0</v>
      </c>
    </row>
    <row r="26" spans="1:13" x14ac:dyDescent="0.25">
      <c r="A26" s="2">
        <v>45063</v>
      </c>
      <c r="B26" t="s">
        <v>357</v>
      </c>
      <c r="C26" s="4">
        <v>4500</v>
      </c>
      <c r="D26" s="12" t="s">
        <v>26</v>
      </c>
      <c r="F26" t="s">
        <v>52</v>
      </c>
      <c r="I26" s="4">
        <f t="shared" si="0"/>
        <v>0</v>
      </c>
    </row>
    <row r="27" spans="1:13" x14ac:dyDescent="0.25">
      <c r="B27" t="s">
        <v>1015</v>
      </c>
      <c r="C27" s="4">
        <v>18000</v>
      </c>
      <c r="D27" s="12" t="s">
        <v>26</v>
      </c>
      <c r="I27" s="4">
        <f t="shared" si="0"/>
        <v>0</v>
      </c>
    </row>
    <row r="28" spans="1:13" x14ac:dyDescent="0.25">
      <c r="A28" s="2">
        <v>45097</v>
      </c>
      <c r="B28" t="s">
        <v>97</v>
      </c>
      <c r="C28" s="4">
        <v>8000</v>
      </c>
      <c r="D28" s="12" t="s">
        <v>7</v>
      </c>
      <c r="I28" s="4">
        <f>IF(D28="PENDIENTE",C28,0)</f>
        <v>8000</v>
      </c>
      <c r="L28" t="s">
        <v>1022</v>
      </c>
      <c r="M28" s="2">
        <v>45110</v>
      </c>
    </row>
    <row r="29" spans="1:13" x14ac:dyDescent="0.25">
      <c r="A29" s="2">
        <v>45159</v>
      </c>
      <c r="B29" t="s">
        <v>1071</v>
      </c>
      <c r="C29" s="4">
        <v>21000</v>
      </c>
      <c r="D29" s="12" t="s">
        <v>7</v>
      </c>
      <c r="I29" s="4">
        <f>IF(D29="PENDIENTE",C29,0)</f>
        <v>21000</v>
      </c>
    </row>
    <row r="30" spans="1:13" x14ac:dyDescent="0.25">
      <c r="A30" s="2">
        <v>45180</v>
      </c>
      <c r="B30" t="s">
        <v>1091</v>
      </c>
      <c r="C30" s="4">
        <v>35000</v>
      </c>
      <c r="D30" s="12" t="s">
        <v>7</v>
      </c>
      <c r="I30" s="4">
        <f t="shared" si="0"/>
        <v>35000</v>
      </c>
    </row>
    <row r="31" spans="1:13" x14ac:dyDescent="0.25">
      <c r="A31" s="2">
        <v>45181</v>
      </c>
      <c r="B31" t="s">
        <v>1092</v>
      </c>
      <c r="C31" s="4">
        <v>65500</v>
      </c>
      <c r="D31" s="12" t="s">
        <v>7</v>
      </c>
      <c r="I31" s="4">
        <f t="shared" si="0"/>
        <v>65500</v>
      </c>
    </row>
    <row r="32" spans="1:13" x14ac:dyDescent="0.25">
      <c r="A32" s="2">
        <v>45182</v>
      </c>
      <c r="B32" t="s">
        <v>1097</v>
      </c>
      <c r="C32" s="4">
        <v>7500</v>
      </c>
      <c r="D32" s="12" t="s">
        <v>7</v>
      </c>
      <c r="I32" s="4">
        <f t="shared" si="0"/>
        <v>7500</v>
      </c>
    </row>
    <row r="33" spans="1:9" x14ac:dyDescent="0.25">
      <c r="A33" s="2">
        <v>45196</v>
      </c>
      <c r="B33" t="s">
        <v>1107</v>
      </c>
      <c r="C33" s="4">
        <v>27000</v>
      </c>
      <c r="D33" s="12" t="s">
        <v>7</v>
      </c>
      <c r="I33" s="4">
        <f t="shared" si="0"/>
        <v>27000</v>
      </c>
    </row>
    <row r="34" spans="1:9" x14ac:dyDescent="0.25">
      <c r="I34" s="4">
        <f t="shared" si="0"/>
        <v>0</v>
      </c>
    </row>
    <row r="35" spans="1:9" x14ac:dyDescent="0.25">
      <c r="I35" s="4">
        <f t="shared" si="0"/>
        <v>0</v>
      </c>
    </row>
    <row r="36" spans="1:9" x14ac:dyDescent="0.25">
      <c r="I36" s="4">
        <f t="shared" si="0"/>
        <v>0</v>
      </c>
    </row>
    <row r="37" spans="1:9" x14ac:dyDescent="0.25">
      <c r="I37" s="4">
        <f t="shared" si="0"/>
        <v>0</v>
      </c>
    </row>
    <row r="38" spans="1:9" x14ac:dyDescent="0.25">
      <c r="I38" s="4">
        <f t="shared" si="0"/>
        <v>0</v>
      </c>
    </row>
    <row r="39" spans="1:9" x14ac:dyDescent="0.25">
      <c r="I39" s="4">
        <f t="shared" si="0"/>
        <v>0</v>
      </c>
    </row>
    <row r="40" spans="1:9" x14ac:dyDescent="0.25">
      <c r="I40" s="4">
        <f t="shared" si="0"/>
        <v>0</v>
      </c>
    </row>
  </sheetData>
  <autoFilter ref="A1:F40"/>
  <conditionalFormatting sqref="D1:D1048576">
    <cfRule type="cellIs" dxfId="246" priority="7" operator="equal">
      <formula>"PAGADO"</formula>
    </cfRule>
    <cfRule type="cellIs" dxfId="245" priority="8" operator="equal">
      <formula>"PENDIENTE"</formula>
    </cfRule>
    <cfRule type="cellIs" dxfId="244" priority="9" operator="equal">
      <formula>"""PENDIENTE"""</formula>
    </cfRule>
  </conditionalFormatting>
  <conditionalFormatting sqref="E1:E1048576">
    <cfRule type="cellIs" dxfId="243" priority="5" operator="equal">
      <formula>"FACTURADO"</formula>
    </cfRule>
    <cfRule type="cellIs" dxfId="242" priority="6" operator="equal">
      <formula>"NO FACTURADO"</formula>
    </cfRule>
  </conditionalFormatting>
  <conditionalFormatting sqref="F1:F1048576">
    <cfRule type="cellIs" dxfId="241" priority="1" operator="equal">
      <formula>"NATALIA"</formula>
    </cfRule>
    <cfRule type="cellIs" dxfId="240" priority="2" operator="equal">
      <formula>"DELIS"</formula>
    </cfRule>
    <cfRule type="cellIs" dxfId="239" priority="3" operator="equal">
      <formula>"CESAR"</formula>
    </cfRule>
    <cfRule type="cellIs" dxfId="23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M276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3" x14ac:dyDescent="0.25">
      <c r="A1" s="5" t="s">
        <v>900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  <c r="L1" t="s">
        <v>111</v>
      </c>
      <c r="M1" t="s">
        <v>207</v>
      </c>
    </row>
    <row r="2" spans="1:13" x14ac:dyDescent="0.25">
      <c r="A2" s="13">
        <v>43466</v>
      </c>
      <c r="B2" t="s">
        <v>21</v>
      </c>
      <c r="D2" s="10"/>
      <c r="F2" t="s">
        <v>52</v>
      </c>
      <c r="H2" t="str">
        <f>IF(E:E="NO FACTURADO","PENDIENTE","AL DIA")</f>
        <v>AL DIA</v>
      </c>
      <c r="I2" s="4">
        <f t="shared" ref="I2:I125" si="0">IF(D2="PENDIENTE",C2,0)</f>
        <v>0</v>
      </c>
      <c r="J2" s="4">
        <f>SUM(I:I)</f>
        <v>87500</v>
      </c>
      <c r="K2" s="11" t="s">
        <v>121</v>
      </c>
    </row>
    <row r="3" spans="1:13" x14ac:dyDescent="0.25">
      <c r="A3" s="2">
        <v>44206</v>
      </c>
      <c r="B3" t="s">
        <v>92</v>
      </c>
      <c r="C3" s="4">
        <v>31500</v>
      </c>
      <c r="D3" s="10" t="s">
        <v>26</v>
      </c>
      <c r="E3" s="12" t="s">
        <v>22</v>
      </c>
      <c r="F3" s="12" t="s">
        <v>10</v>
      </c>
      <c r="H3" t="s">
        <v>175</v>
      </c>
      <c r="I3" s="4">
        <v>0</v>
      </c>
      <c r="J3" s="4"/>
      <c r="K3" s="11"/>
    </row>
    <row r="4" spans="1:13" x14ac:dyDescent="0.25">
      <c r="A4" s="2">
        <v>44206</v>
      </c>
      <c r="B4" t="s">
        <v>325</v>
      </c>
      <c r="C4" s="4">
        <v>3000</v>
      </c>
      <c r="D4" t="s">
        <v>26</v>
      </c>
      <c r="E4" s="12" t="s">
        <v>22</v>
      </c>
      <c r="F4" s="12" t="s">
        <v>52</v>
      </c>
      <c r="H4" t="str">
        <f t="shared" ref="H4:H35" si="1">IF(E:E="NO FACTURADO","PENDIENTE","AL DIA")</f>
        <v>AL DIA</v>
      </c>
      <c r="I4" s="4">
        <f t="shared" si="0"/>
        <v>0</v>
      </c>
    </row>
    <row r="5" spans="1:13" x14ac:dyDescent="0.25">
      <c r="A5" s="2">
        <v>44206</v>
      </c>
      <c r="B5" t="s">
        <v>475</v>
      </c>
      <c r="C5" s="4">
        <v>35000</v>
      </c>
      <c r="D5" t="s">
        <v>26</v>
      </c>
      <c r="F5" t="s">
        <v>292</v>
      </c>
      <c r="H5" t="str">
        <f t="shared" si="1"/>
        <v>AL DIA</v>
      </c>
      <c r="I5" s="4">
        <f t="shared" si="0"/>
        <v>0</v>
      </c>
    </row>
    <row r="6" spans="1:13" x14ac:dyDescent="0.25">
      <c r="A6" s="2">
        <v>44206</v>
      </c>
      <c r="B6" t="s">
        <v>716</v>
      </c>
      <c r="C6" s="4">
        <v>50000</v>
      </c>
      <c r="D6" t="s">
        <v>26</v>
      </c>
      <c r="F6" t="s">
        <v>229</v>
      </c>
      <c r="H6" t="str">
        <f t="shared" si="1"/>
        <v>AL DIA</v>
      </c>
      <c r="I6" s="4">
        <f t="shared" si="0"/>
        <v>0</v>
      </c>
    </row>
    <row r="7" spans="1:13" x14ac:dyDescent="0.25">
      <c r="A7" s="2">
        <v>44206</v>
      </c>
      <c r="B7" t="s">
        <v>717</v>
      </c>
      <c r="C7" s="4">
        <v>20000</v>
      </c>
      <c r="D7" t="s">
        <v>26</v>
      </c>
      <c r="F7" t="s">
        <v>229</v>
      </c>
      <c r="H7" t="str">
        <f t="shared" si="1"/>
        <v>AL DIA</v>
      </c>
      <c r="I7" s="4">
        <f t="shared" si="0"/>
        <v>0</v>
      </c>
    </row>
    <row r="8" spans="1:13" x14ac:dyDescent="0.25">
      <c r="A8" s="2">
        <v>44206</v>
      </c>
      <c r="B8" t="s">
        <v>718</v>
      </c>
      <c r="C8" s="4">
        <v>9000</v>
      </c>
      <c r="D8" t="s">
        <v>26</v>
      </c>
      <c r="F8" t="s">
        <v>292</v>
      </c>
      <c r="H8" t="str">
        <f t="shared" si="1"/>
        <v>AL DIA</v>
      </c>
      <c r="I8" s="4">
        <f t="shared" si="0"/>
        <v>0</v>
      </c>
    </row>
    <row r="9" spans="1:13" x14ac:dyDescent="0.25">
      <c r="A9" s="2">
        <v>44206</v>
      </c>
      <c r="B9" t="s">
        <v>779</v>
      </c>
      <c r="C9" s="4">
        <v>12000</v>
      </c>
      <c r="D9" t="s">
        <v>26</v>
      </c>
      <c r="F9" t="s">
        <v>292</v>
      </c>
      <c r="H9" t="str">
        <f t="shared" si="1"/>
        <v>AL DIA</v>
      </c>
      <c r="I9" s="4">
        <f t="shared" si="0"/>
        <v>0</v>
      </c>
    </row>
    <row r="10" spans="1:13" x14ac:dyDescent="0.25">
      <c r="A10" s="2">
        <v>44207</v>
      </c>
      <c r="B10" t="s">
        <v>45</v>
      </c>
      <c r="C10" s="4">
        <v>14000</v>
      </c>
      <c r="D10" s="10" t="s">
        <v>26</v>
      </c>
      <c r="E10" t="s">
        <v>22</v>
      </c>
      <c r="F10" t="s">
        <v>25</v>
      </c>
      <c r="H10" t="str">
        <f t="shared" si="1"/>
        <v>AL DIA</v>
      </c>
      <c r="I10" s="4">
        <f t="shared" si="0"/>
        <v>0</v>
      </c>
      <c r="L10">
        <v>100000</v>
      </c>
      <c r="M10" s="2">
        <v>44980</v>
      </c>
    </row>
    <row r="11" spans="1:13" x14ac:dyDescent="0.25">
      <c r="A11" s="2">
        <v>44208</v>
      </c>
      <c r="B11" t="s">
        <v>48</v>
      </c>
      <c r="C11" s="4">
        <v>1500</v>
      </c>
      <c r="D11" s="10" t="s">
        <v>26</v>
      </c>
      <c r="E11" t="s">
        <v>22</v>
      </c>
      <c r="F11" t="s">
        <v>10</v>
      </c>
      <c r="H11" t="str">
        <f t="shared" si="1"/>
        <v>AL DIA</v>
      </c>
      <c r="I11" s="4">
        <f t="shared" si="0"/>
        <v>0</v>
      </c>
    </row>
    <row r="12" spans="1:13" x14ac:dyDescent="0.25">
      <c r="A12" s="2">
        <v>44214</v>
      </c>
      <c r="B12" t="s">
        <v>64</v>
      </c>
      <c r="C12" s="4">
        <v>135000</v>
      </c>
      <c r="D12" s="10" t="s">
        <v>26</v>
      </c>
      <c r="E12" s="12" t="s">
        <v>22</v>
      </c>
      <c r="F12" s="12" t="s">
        <v>10</v>
      </c>
      <c r="H12" t="str">
        <f t="shared" si="1"/>
        <v>AL DIA</v>
      </c>
      <c r="I12" s="4">
        <f t="shared" si="0"/>
        <v>0</v>
      </c>
    </row>
    <row r="13" spans="1:13" x14ac:dyDescent="0.25">
      <c r="A13" s="2">
        <v>44215</v>
      </c>
      <c r="B13" t="s">
        <v>74</v>
      </c>
      <c r="C13" s="4">
        <v>6000</v>
      </c>
      <c r="D13" s="10" t="s">
        <v>26</v>
      </c>
      <c r="E13" s="12" t="s">
        <v>22</v>
      </c>
      <c r="F13" s="12" t="s">
        <v>25</v>
      </c>
      <c r="H13" t="str">
        <f t="shared" si="1"/>
        <v>AL DIA</v>
      </c>
      <c r="I13" s="4">
        <f t="shared" si="0"/>
        <v>0</v>
      </c>
    </row>
    <row r="14" spans="1:13" x14ac:dyDescent="0.25">
      <c r="A14" s="2">
        <v>44215</v>
      </c>
      <c r="B14" t="s">
        <v>75</v>
      </c>
      <c r="C14" s="4">
        <v>38000</v>
      </c>
      <c r="D14" s="10" t="s">
        <v>26</v>
      </c>
      <c r="E14" s="12" t="s">
        <v>22</v>
      </c>
      <c r="F14" s="12" t="s">
        <v>25</v>
      </c>
      <c r="H14" t="str">
        <f t="shared" si="1"/>
        <v>AL DIA</v>
      </c>
      <c r="I14" s="4">
        <f t="shared" si="0"/>
        <v>0</v>
      </c>
    </row>
    <row r="15" spans="1:13" x14ac:dyDescent="0.25">
      <c r="A15" s="2">
        <v>44216</v>
      </c>
      <c r="B15" t="s">
        <v>76</v>
      </c>
      <c r="C15" s="4">
        <v>39000</v>
      </c>
      <c r="D15" s="10" t="s">
        <v>26</v>
      </c>
      <c r="E15" s="12" t="s">
        <v>22</v>
      </c>
      <c r="F15" s="12" t="s">
        <v>10</v>
      </c>
      <c r="H15" t="str">
        <f t="shared" si="1"/>
        <v>AL DIA</v>
      </c>
      <c r="I15" s="4">
        <f t="shared" si="0"/>
        <v>0</v>
      </c>
    </row>
    <row r="16" spans="1:13" x14ac:dyDescent="0.25">
      <c r="A16" s="2">
        <v>44228</v>
      </c>
      <c r="B16" t="s">
        <v>87</v>
      </c>
      <c r="C16" s="4">
        <v>3000</v>
      </c>
      <c r="D16" s="10" t="s">
        <v>26</v>
      </c>
      <c r="E16" s="12" t="s">
        <v>22</v>
      </c>
      <c r="F16" s="12" t="s">
        <v>52</v>
      </c>
      <c r="H16" t="str">
        <f t="shared" si="1"/>
        <v>AL DIA</v>
      </c>
      <c r="I16" s="4">
        <f t="shared" si="0"/>
        <v>0</v>
      </c>
    </row>
    <row r="17" spans="1:13" x14ac:dyDescent="0.25">
      <c r="A17" s="2">
        <v>44242</v>
      </c>
      <c r="B17" t="s">
        <v>118</v>
      </c>
      <c r="C17" s="4">
        <v>18500</v>
      </c>
      <c r="D17" s="10" t="s">
        <v>26</v>
      </c>
      <c r="E17" s="12" t="s">
        <v>22</v>
      </c>
      <c r="F17" s="12" t="s">
        <v>25</v>
      </c>
      <c r="H17" t="str">
        <f t="shared" si="1"/>
        <v>AL DIA</v>
      </c>
      <c r="I17" s="4">
        <f t="shared" si="0"/>
        <v>0</v>
      </c>
    </row>
    <row r="18" spans="1:13" x14ac:dyDescent="0.25">
      <c r="A18" s="2">
        <v>44243</v>
      </c>
      <c r="B18" t="s">
        <v>122</v>
      </c>
      <c r="C18" s="4">
        <v>12000</v>
      </c>
      <c r="D18" s="10" t="s">
        <v>26</v>
      </c>
      <c r="E18" s="12" t="s">
        <v>22</v>
      </c>
      <c r="F18" s="12" t="s">
        <v>25</v>
      </c>
      <c r="H18" t="str">
        <f t="shared" si="1"/>
        <v>AL DIA</v>
      </c>
      <c r="I18" s="4">
        <f t="shared" si="0"/>
        <v>0</v>
      </c>
    </row>
    <row r="19" spans="1:13" x14ac:dyDescent="0.25">
      <c r="A19" s="2">
        <v>44244</v>
      </c>
      <c r="B19" t="s">
        <v>123</v>
      </c>
      <c r="C19" s="4">
        <v>40000</v>
      </c>
      <c r="D19" s="10" t="s">
        <v>26</v>
      </c>
      <c r="E19" s="12" t="s">
        <v>22</v>
      </c>
      <c r="F19" s="12" t="s">
        <v>25</v>
      </c>
      <c r="H19" t="str">
        <f t="shared" si="1"/>
        <v>AL DIA</v>
      </c>
      <c r="I19" s="4">
        <f t="shared" si="0"/>
        <v>0</v>
      </c>
    </row>
    <row r="20" spans="1:13" x14ac:dyDescent="0.25">
      <c r="A20" s="2">
        <v>44256</v>
      </c>
      <c r="B20" t="s">
        <v>137</v>
      </c>
      <c r="C20" s="4">
        <v>40000</v>
      </c>
      <c r="D20" s="10" t="s">
        <v>26</v>
      </c>
      <c r="E20" s="12" t="s">
        <v>22</v>
      </c>
      <c r="F20" s="12" t="s">
        <v>10</v>
      </c>
      <c r="H20" t="str">
        <f t="shared" si="1"/>
        <v>AL DIA</v>
      </c>
      <c r="I20" s="4">
        <f t="shared" si="0"/>
        <v>0</v>
      </c>
    </row>
    <row r="21" spans="1:13" x14ac:dyDescent="0.25">
      <c r="A21" s="2">
        <v>44256</v>
      </c>
      <c r="B21" t="s">
        <v>87</v>
      </c>
      <c r="C21" s="4">
        <v>8000</v>
      </c>
      <c r="D21" s="10" t="s">
        <v>26</v>
      </c>
      <c r="E21" s="12" t="s">
        <v>22</v>
      </c>
      <c r="F21" s="12" t="s">
        <v>10</v>
      </c>
      <c r="H21" t="str">
        <f t="shared" si="1"/>
        <v>AL DIA</v>
      </c>
      <c r="I21" s="4">
        <f t="shared" si="0"/>
        <v>0</v>
      </c>
    </row>
    <row r="22" spans="1:13" x14ac:dyDescent="0.25">
      <c r="A22" s="2">
        <v>44256</v>
      </c>
      <c r="B22" t="s">
        <v>138</v>
      </c>
      <c r="C22" s="4">
        <v>14000</v>
      </c>
      <c r="D22" s="10" t="s">
        <v>26</v>
      </c>
      <c r="E22" s="12" t="s">
        <v>22</v>
      </c>
      <c r="F22" s="12" t="s">
        <v>52</v>
      </c>
      <c r="H22" t="str">
        <f t="shared" si="1"/>
        <v>AL DIA</v>
      </c>
      <c r="I22" s="4">
        <f t="shared" si="0"/>
        <v>0</v>
      </c>
      <c r="L22">
        <v>100000</v>
      </c>
      <c r="M22" s="2">
        <v>44287</v>
      </c>
    </row>
    <row r="23" spans="1:13" x14ac:dyDescent="0.25">
      <c r="A23" s="2">
        <v>44256</v>
      </c>
      <c r="B23" t="s">
        <v>70</v>
      </c>
      <c r="C23" s="4">
        <v>3500</v>
      </c>
      <c r="D23" s="10" t="s">
        <v>26</v>
      </c>
      <c r="E23" s="12" t="s">
        <v>22</v>
      </c>
      <c r="F23" s="12" t="s">
        <v>52</v>
      </c>
      <c r="H23" t="str">
        <f t="shared" si="1"/>
        <v>AL DIA</v>
      </c>
      <c r="I23" s="4">
        <f t="shared" si="0"/>
        <v>0</v>
      </c>
    </row>
    <row r="24" spans="1:13" x14ac:dyDescent="0.25">
      <c r="A24" s="2">
        <v>44259</v>
      </c>
      <c r="B24" t="s">
        <v>154</v>
      </c>
      <c r="C24" s="4">
        <v>7000</v>
      </c>
      <c r="D24" s="10" t="s">
        <v>26</v>
      </c>
      <c r="E24" s="12" t="s">
        <v>22</v>
      </c>
      <c r="F24" s="12" t="s">
        <v>52</v>
      </c>
      <c r="H24" t="str">
        <f t="shared" si="1"/>
        <v>AL DIA</v>
      </c>
      <c r="I24" s="4">
        <f t="shared" si="0"/>
        <v>0</v>
      </c>
    </row>
    <row r="25" spans="1:13" x14ac:dyDescent="0.25">
      <c r="A25" s="2">
        <v>44279</v>
      </c>
      <c r="B25" t="s">
        <v>183</v>
      </c>
      <c r="C25" s="4">
        <v>12000</v>
      </c>
      <c r="D25" s="10" t="s">
        <v>26</v>
      </c>
      <c r="E25" s="12" t="s">
        <v>22</v>
      </c>
      <c r="F25" s="12" t="s">
        <v>52</v>
      </c>
      <c r="H25" t="str">
        <f t="shared" si="1"/>
        <v>AL DIA</v>
      </c>
      <c r="I25" s="4">
        <f t="shared" si="0"/>
        <v>0</v>
      </c>
    </row>
    <row r="26" spans="1:13" x14ac:dyDescent="0.25">
      <c r="A26" s="2">
        <v>44279</v>
      </c>
      <c r="B26" t="s">
        <v>184</v>
      </c>
      <c r="C26" s="4">
        <v>45000</v>
      </c>
      <c r="D26" s="10" t="s">
        <v>26</v>
      </c>
      <c r="E26" s="12" t="s">
        <v>22</v>
      </c>
      <c r="F26" s="12" t="s">
        <v>52</v>
      </c>
      <c r="H26" t="str">
        <f t="shared" si="1"/>
        <v>AL DIA</v>
      </c>
      <c r="I26" s="4">
        <f t="shared" si="0"/>
        <v>0</v>
      </c>
    </row>
    <row r="27" spans="1:13" x14ac:dyDescent="0.25">
      <c r="A27" s="2">
        <v>44287</v>
      </c>
      <c r="B27" t="s">
        <v>206</v>
      </c>
      <c r="C27" s="4">
        <v>50000</v>
      </c>
      <c r="D27" s="10" t="s">
        <v>26</v>
      </c>
      <c r="E27" s="12" t="s">
        <v>22</v>
      </c>
      <c r="F27" s="12" t="s">
        <v>52</v>
      </c>
      <c r="H27" t="str">
        <f t="shared" si="1"/>
        <v>AL DIA</v>
      </c>
      <c r="I27" s="4">
        <f t="shared" si="0"/>
        <v>0</v>
      </c>
    </row>
    <row r="28" spans="1:13" x14ac:dyDescent="0.25">
      <c r="A28" s="2">
        <v>44295</v>
      </c>
      <c r="B28" t="s">
        <v>212</v>
      </c>
      <c r="C28" s="4">
        <v>5500</v>
      </c>
      <c r="D28" s="10" t="s">
        <v>26</v>
      </c>
      <c r="E28" s="12" t="s">
        <v>22</v>
      </c>
      <c r="F28" s="12" t="s">
        <v>25</v>
      </c>
      <c r="H28" t="str">
        <f t="shared" si="1"/>
        <v>AL DIA</v>
      </c>
      <c r="I28" s="4">
        <f t="shared" si="0"/>
        <v>0</v>
      </c>
    </row>
    <row r="29" spans="1:13" x14ac:dyDescent="0.25">
      <c r="A29" s="2">
        <v>44306</v>
      </c>
      <c r="B29" t="s">
        <v>70</v>
      </c>
      <c r="C29" s="4">
        <v>4000</v>
      </c>
      <c r="D29" s="10" t="s">
        <v>26</v>
      </c>
      <c r="E29" s="12" t="s">
        <v>218</v>
      </c>
      <c r="F29" s="12" t="s">
        <v>52</v>
      </c>
      <c r="H29" t="str">
        <f t="shared" si="1"/>
        <v>AL DIA</v>
      </c>
      <c r="I29" s="4">
        <f t="shared" si="0"/>
        <v>0</v>
      </c>
    </row>
    <row r="30" spans="1:13" x14ac:dyDescent="0.25">
      <c r="A30" s="2">
        <v>44315</v>
      </c>
      <c r="B30" t="s">
        <v>237</v>
      </c>
      <c r="C30" s="4">
        <v>1500</v>
      </c>
      <c r="D30" s="10" t="s">
        <v>26</v>
      </c>
      <c r="E30" s="12" t="s">
        <v>218</v>
      </c>
      <c r="H30" t="str">
        <f t="shared" si="1"/>
        <v>AL DIA</v>
      </c>
      <c r="I30" s="4">
        <f t="shared" si="0"/>
        <v>0</v>
      </c>
    </row>
    <row r="31" spans="1:13" x14ac:dyDescent="0.25">
      <c r="A31" s="2">
        <v>44320</v>
      </c>
      <c r="B31" t="s">
        <v>240</v>
      </c>
      <c r="C31" s="4">
        <v>45000</v>
      </c>
      <c r="D31" s="10" t="s">
        <v>26</v>
      </c>
      <c r="E31" s="12" t="s">
        <v>22</v>
      </c>
      <c r="F31" t="s">
        <v>52</v>
      </c>
      <c r="H31" t="str">
        <f t="shared" si="1"/>
        <v>AL DIA</v>
      </c>
      <c r="I31" s="4">
        <f t="shared" si="0"/>
        <v>0</v>
      </c>
    </row>
    <row r="32" spans="1:13" x14ac:dyDescent="0.25">
      <c r="A32" s="2">
        <v>44322</v>
      </c>
      <c r="B32" t="s">
        <v>242</v>
      </c>
      <c r="C32" s="4">
        <v>30000</v>
      </c>
      <c r="D32" s="10" t="s">
        <v>26</v>
      </c>
      <c r="E32" s="12" t="s">
        <v>22</v>
      </c>
      <c r="F32" t="s">
        <v>25</v>
      </c>
      <c r="H32" t="str">
        <f t="shared" si="1"/>
        <v>AL DIA</v>
      </c>
      <c r="I32" s="4">
        <f t="shared" si="0"/>
        <v>0</v>
      </c>
    </row>
    <row r="33" spans="1:9" x14ac:dyDescent="0.25">
      <c r="A33" s="2">
        <v>44327</v>
      </c>
      <c r="B33" t="s">
        <v>245</v>
      </c>
      <c r="C33" s="4">
        <v>35000</v>
      </c>
      <c r="D33" s="10" t="s">
        <v>26</v>
      </c>
      <c r="E33" s="12" t="s">
        <v>22</v>
      </c>
      <c r="F33" t="s">
        <v>10</v>
      </c>
      <c r="H33" t="str">
        <f t="shared" si="1"/>
        <v>AL DIA</v>
      </c>
      <c r="I33" s="4">
        <f t="shared" si="0"/>
        <v>0</v>
      </c>
    </row>
    <row r="34" spans="1:9" x14ac:dyDescent="0.25">
      <c r="A34" s="2">
        <v>44327</v>
      </c>
      <c r="B34" t="s">
        <v>246</v>
      </c>
      <c r="C34" s="4">
        <v>2500</v>
      </c>
      <c r="D34" s="10" t="s">
        <v>26</v>
      </c>
      <c r="E34" s="12" t="s">
        <v>22</v>
      </c>
      <c r="F34" t="s">
        <v>10</v>
      </c>
      <c r="H34" t="str">
        <f t="shared" si="1"/>
        <v>AL DIA</v>
      </c>
      <c r="I34" s="4">
        <f t="shared" si="0"/>
        <v>0</v>
      </c>
    </row>
    <row r="35" spans="1:9" x14ac:dyDescent="0.25">
      <c r="A35" s="2">
        <v>44347</v>
      </c>
      <c r="B35" t="s">
        <v>261</v>
      </c>
      <c r="C35" s="4">
        <v>30500</v>
      </c>
      <c r="D35" s="10" t="s">
        <v>26</v>
      </c>
      <c r="E35" s="12" t="s">
        <v>22</v>
      </c>
      <c r="F35" t="s">
        <v>25</v>
      </c>
      <c r="H35" t="str">
        <f t="shared" si="1"/>
        <v>AL DIA</v>
      </c>
      <c r="I35" s="4">
        <f t="shared" si="0"/>
        <v>0</v>
      </c>
    </row>
    <row r="36" spans="1:9" x14ac:dyDescent="0.25">
      <c r="A36" s="2">
        <v>44348</v>
      </c>
      <c r="B36" t="s">
        <v>264</v>
      </c>
      <c r="C36" s="4">
        <v>71900</v>
      </c>
      <c r="D36" s="10" t="s">
        <v>26</v>
      </c>
      <c r="E36" s="12" t="s">
        <v>22</v>
      </c>
      <c r="F36" t="s">
        <v>52</v>
      </c>
      <c r="H36" t="str">
        <f t="shared" ref="H36:H56" si="2">IF(E:E="NO FACTURADO","PENDIENTE","AL DIA")</f>
        <v>AL DIA</v>
      </c>
      <c r="I36" s="4">
        <f t="shared" si="0"/>
        <v>0</v>
      </c>
    </row>
    <row r="37" spans="1:9" x14ac:dyDescent="0.25">
      <c r="A37" s="2">
        <v>44348</v>
      </c>
      <c r="B37" t="s">
        <v>265</v>
      </c>
      <c r="C37" s="4">
        <v>7000</v>
      </c>
      <c r="D37" s="10" t="s">
        <v>26</v>
      </c>
      <c r="E37" s="12" t="s">
        <v>22</v>
      </c>
      <c r="F37" t="s">
        <v>52</v>
      </c>
      <c r="H37" t="str">
        <f t="shared" si="2"/>
        <v>AL DIA</v>
      </c>
      <c r="I37" s="4">
        <f t="shared" si="0"/>
        <v>0</v>
      </c>
    </row>
    <row r="38" spans="1:9" x14ac:dyDescent="0.25">
      <c r="A38" s="2">
        <v>44348</v>
      </c>
      <c r="B38" t="s">
        <v>266</v>
      </c>
      <c r="C38" s="4">
        <v>22000</v>
      </c>
      <c r="D38" s="10" t="s">
        <v>26</v>
      </c>
      <c r="E38" s="12" t="s">
        <v>22</v>
      </c>
      <c r="F38" t="s">
        <v>52</v>
      </c>
      <c r="H38" t="str">
        <f t="shared" si="2"/>
        <v>AL DIA</v>
      </c>
      <c r="I38" s="4">
        <f t="shared" si="0"/>
        <v>0</v>
      </c>
    </row>
    <row r="39" spans="1:9" x14ac:dyDescent="0.25">
      <c r="A39" s="2">
        <v>44349</v>
      </c>
      <c r="B39" t="s">
        <v>267</v>
      </c>
      <c r="C39" s="4">
        <v>60000</v>
      </c>
      <c r="D39" s="10" t="s">
        <v>26</v>
      </c>
      <c r="E39" s="12" t="s">
        <v>22</v>
      </c>
      <c r="F39" t="s">
        <v>10</v>
      </c>
      <c r="H39" t="str">
        <f t="shared" si="2"/>
        <v>AL DIA</v>
      </c>
      <c r="I39" s="4">
        <f t="shared" si="0"/>
        <v>0</v>
      </c>
    </row>
    <row r="40" spans="1:9" x14ac:dyDescent="0.25">
      <c r="A40" s="2">
        <v>44349</v>
      </c>
      <c r="B40" t="s">
        <v>268</v>
      </c>
      <c r="C40" s="4">
        <v>2500</v>
      </c>
      <c r="D40" s="10" t="s">
        <v>26</v>
      </c>
      <c r="E40" s="12" t="s">
        <v>22</v>
      </c>
      <c r="F40" t="s">
        <v>10</v>
      </c>
      <c r="H40" t="str">
        <f t="shared" si="2"/>
        <v>AL DIA</v>
      </c>
      <c r="I40" s="4">
        <f t="shared" si="0"/>
        <v>0</v>
      </c>
    </row>
    <row r="41" spans="1:9" x14ac:dyDescent="0.25">
      <c r="A41" s="2">
        <v>44355</v>
      </c>
      <c r="B41" t="s">
        <v>275</v>
      </c>
      <c r="C41" s="4">
        <v>11000</v>
      </c>
      <c r="D41" s="10" t="s">
        <v>26</v>
      </c>
      <c r="E41" s="12" t="s">
        <v>22</v>
      </c>
      <c r="F41" t="s">
        <v>25</v>
      </c>
      <c r="H41" t="str">
        <f t="shared" si="2"/>
        <v>AL DIA</v>
      </c>
      <c r="I41" s="4">
        <f t="shared" si="0"/>
        <v>0</v>
      </c>
    </row>
    <row r="42" spans="1:9" x14ac:dyDescent="0.25">
      <c r="A42" s="2">
        <v>44355</v>
      </c>
      <c r="B42" t="s">
        <v>278</v>
      </c>
      <c r="C42" s="4">
        <v>6000</v>
      </c>
      <c r="D42" s="10" t="s">
        <v>26</v>
      </c>
      <c r="E42" s="12" t="s">
        <v>216</v>
      </c>
      <c r="F42" t="s">
        <v>25</v>
      </c>
      <c r="H42" t="str">
        <f t="shared" si="2"/>
        <v>AL DIA</v>
      </c>
      <c r="I42" s="4">
        <f t="shared" si="0"/>
        <v>0</v>
      </c>
    </row>
    <row r="43" spans="1:9" x14ac:dyDescent="0.25">
      <c r="A43" s="2">
        <v>44358</v>
      </c>
      <c r="B43" t="s">
        <v>284</v>
      </c>
      <c r="C43" s="4">
        <v>12500</v>
      </c>
      <c r="D43" s="10" t="s">
        <v>26</v>
      </c>
      <c r="E43" s="12" t="s">
        <v>22</v>
      </c>
      <c r="F43" t="s">
        <v>10</v>
      </c>
      <c r="H43" t="str">
        <f t="shared" si="2"/>
        <v>AL DIA</v>
      </c>
      <c r="I43" s="4">
        <f t="shared" si="0"/>
        <v>0</v>
      </c>
    </row>
    <row r="44" spans="1:9" x14ac:dyDescent="0.25">
      <c r="A44" s="2">
        <v>44364</v>
      </c>
      <c r="B44" t="s">
        <v>293</v>
      </c>
      <c r="C44" s="4">
        <v>15000</v>
      </c>
      <c r="D44" s="10" t="s">
        <v>26</v>
      </c>
      <c r="E44" s="12" t="s">
        <v>22</v>
      </c>
      <c r="F44" t="s">
        <v>10</v>
      </c>
      <c r="H44" t="str">
        <f t="shared" si="2"/>
        <v>AL DIA</v>
      </c>
      <c r="I44" s="4">
        <f t="shared" si="0"/>
        <v>0</v>
      </c>
    </row>
    <row r="45" spans="1:9" x14ac:dyDescent="0.25">
      <c r="A45" s="2">
        <v>44370</v>
      </c>
      <c r="B45" t="s">
        <v>296</v>
      </c>
      <c r="C45" s="4">
        <v>110000</v>
      </c>
      <c r="D45" t="s">
        <v>26</v>
      </c>
      <c r="E45" s="12" t="s">
        <v>22</v>
      </c>
      <c r="F45" t="s">
        <v>25</v>
      </c>
      <c r="H45" t="str">
        <f t="shared" si="2"/>
        <v>AL DIA</v>
      </c>
      <c r="I45" s="4">
        <f t="shared" si="0"/>
        <v>0</v>
      </c>
    </row>
    <row r="46" spans="1:9" x14ac:dyDescent="0.25">
      <c r="A46" s="2">
        <v>44371</v>
      </c>
      <c r="B46" t="s">
        <v>298</v>
      </c>
      <c r="C46" s="4">
        <v>12000</v>
      </c>
      <c r="D46" t="s">
        <v>26</v>
      </c>
      <c r="E46" s="12" t="s">
        <v>22</v>
      </c>
      <c r="F46" t="s">
        <v>10</v>
      </c>
      <c r="H46" t="str">
        <f t="shared" si="2"/>
        <v>AL DIA</v>
      </c>
      <c r="I46" s="4">
        <f t="shared" si="0"/>
        <v>0</v>
      </c>
    </row>
    <row r="47" spans="1:9" x14ac:dyDescent="0.25">
      <c r="A47" s="2">
        <v>44372</v>
      </c>
      <c r="B47" t="s">
        <v>302</v>
      </c>
      <c r="C47" s="4">
        <v>56000</v>
      </c>
      <c r="D47" t="s">
        <v>26</v>
      </c>
      <c r="E47" s="12" t="s">
        <v>22</v>
      </c>
      <c r="F47" t="s">
        <v>25</v>
      </c>
      <c r="H47" t="str">
        <f t="shared" si="2"/>
        <v>AL DIA</v>
      </c>
      <c r="I47" s="4">
        <f t="shared" si="0"/>
        <v>0</v>
      </c>
    </row>
    <row r="48" spans="1:9" x14ac:dyDescent="0.25">
      <c r="A48" s="2">
        <v>44372</v>
      </c>
      <c r="B48" t="s">
        <v>299</v>
      </c>
      <c r="C48" s="4">
        <v>46000</v>
      </c>
      <c r="D48" t="s">
        <v>26</v>
      </c>
      <c r="E48" s="12" t="s">
        <v>22</v>
      </c>
      <c r="F48" t="s">
        <v>25</v>
      </c>
      <c r="H48" t="str">
        <f t="shared" si="2"/>
        <v>AL DIA</v>
      </c>
      <c r="I48" s="4">
        <f t="shared" si="0"/>
        <v>0</v>
      </c>
    </row>
    <row r="49" spans="1:12" x14ac:dyDescent="0.25">
      <c r="A49" s="2">
        <v>44372</v>
      </c>
      <c r="B49" t="s">
        <v>301</v>
      </c>
      <c r="C49" s="4">
        <v>18000</v>
      </c>
      <c r="D49" t="s">
        <v>26</v>
      </c>
      <c r="E49" s="12" t="s">
        <v>22</v>
      </c>
      <c r="F49" t="s">
        <v>25</v>
      </c>
      <c r="H49" t="str">
        <f t="shared" si="2"/>
        <v>AL DIA</v>
      </c>
      <c r="I49" s="4">
        <f t="shared" si="0"/>
        <v>0</v>
      </c>
    </row>
    <row r="50" spans="1:12" x14ac:dyDescent="0.25">
      <c r="A50" s="2">
        <v>44385</v>
      </c>
      <c r="B50" t="s">
        <v>306</v>
      </c>
      <c r="C50" s="4">
        <v>12000</v>
      </c>
      <c r="D50" t="s">
        <v>26</v>
      </c>
      <c r="E50" s="12" t="s">
        <v>22</v>
      </c>
      <c r="F50" t="s">
        <v>25</v>
      </c>
      <c r="H50" t="str">
        <f t="shared" si="2"/>
        <v>AL DIA</v>
      </c>
      <c r="I50" s="4">
        <f t="shared" si="0"/>
        <v>0</v>
      </c>
    </row>
    <row r="51" spans="1:12" x14ac:dyDescent="0.25">
      <c r="A51" s="2">
        <v>44390</v>
      </c>
      <c r="B51" t="s">
        <v>309</v>
      </c>
      <c r="C51" s="4">
        <v>2000</v>
      </c>
      <c r="D51" t="s">
        <v>26</v>
      </c>
      <c r="E51" s="12" t="s">
        <v>22</v>
      </c>
      <c r="F51" t="s">
        <v>25</v>
      </c>
      <c r="H51" t="str">
        <f t="shared" si="2"/>
        <v>AL DIA</v>
      </c>
      <c r="I51" s="4">
        <f t="shared" si="0"/>
        <v>0</v>
      </c>
    </row>
    <row r="52" spans="1:12" x14ac:dyDescent="0.25">
      <c r="A52" s="2">
        <v>44396</v>
      </c>
      <c r="B52" t="s">
        <v>311</v>
      </c>
      <c r="C52" s="4">
        <v>32000</v>
      </c>
      <c r="D52" t="s">
        <v>26</v>
      </c>
      <c r="E52" s="12" t="s">
        <v>22</v>
      </c>
      <c r="F52" t="s">
        <v>25</v>
      </c>
      <c r="H52" t="str">
        <f t="shared" si="2"/>
        <v>AL DIA</v>
      </c>
      <c r="I52" s="4">
        <f t="shared" si="0"/>
        <v>0</v>
      </c>
    </row>
    <row r="53" spans="1:12" x14ac:dyDescent="0.25">
      <c r="A53" s="2">
        <v>44396</v>
      </c>
      <c r="B53" t="s">
        <v>312</v>
      </c>
      <c r="C53" s="4">
        <v>32000</v>
      </c>
      <c r="D53" t="s">
        <v>26</v>
      </c>
      <c r="E53" s="12" t="s">
        <v>22</v>
      </c>
      <c r="F53" t="s">
        <v>25</v>
      </c>
      <c r="H53" t="str">
        <f t="shared" si="2"/>
        <v>AL DIA</v>
      </c>
      <c r="I53" s="4">
        <f t="shared" si="0"/>
        <v>0</v>
      </c>
    </row>
    <row r="54" spans="1:12" x14ac:dyDescent="0.25">
      <c r="A54" s="2">
        <v>44399</v>
      </c>
      <c r="B54" t="s">
        <v>320</v>
      </c>
      <c r="C54" s="4">
        <v>24000</v>
      </c>
      <c r="D54" t="s">
        <v>26</v>
      </c>
      <c r="E54" s="12" t="s">
        <v>22</v>
      </c>
      <c r="F54" t="s">
        <v>25</v>
      </c>
      <c r="H54" t="str">
        <f t="shared" si="2"/>
        <v>AL DIA</v>
      </c>
      <c r="I54" s="4">
        <f t="shared" si="0"/>
        <v>0</v>
      </c>
    </row>
    <row r="55" spans="1:12" x14ac:dyDescent="0.25">
      <c r="A55" s="2">
        <v>44400</v>
      </c>
      <c r="B55" t="s">
        <v>324</v>
      </c>
      <c r="C55" s="4">
        <v>32000</v>
      </c>
      <c r="D55" t="s">
        <v>26</v>
      </c>
      <c r="E55" s="12" t="s">
        <v>22</v>
      </c>
      <c r="F55" t="s">
        <v>25</v>
      </c>
      <c r="H55" t="str">
        <f t="shared" si="2"/>
        <v>AL DIA</v>
      </c>
      <c r="I55" s="4">
        <f t="shared" si="0"/>
        <v>0</v>
      </c>
    </row>
    <row r="56" spans="1:12" x14ac:dyDescent="0.25">
      <c r="A56" s="2">
        <v>44405</v>
      </c>
      <c r="B56" t="s">
        <v>329</v>
      </c>
      <c r="C56" s="4">
        <v>25000</v>
      </c>
      <c r="D56" t="s">
        <v>26</v>
      </c>
      <c r="E56" s="12" t="s">
        <v>218</v>
      </c>
      <c r="F56" s="12" t="s">
        <v>25</v>
      </c>
      <c r="H56" t="str">
        <f t="shared" si="2"/>
        <v>AL DIA</v>
      </c>
      <c r="I56" s="4">
        <f t="shared" si="0"/>
        <v>0</v>
      </c>
    </row>
    <row r="57" spans="1:12" x14ac:dyDescent="0.25">
      <c r="A57" s="2">
        <v>44405</v>
      </c>
      <c r="B57" t="s">
        <v>330</v>
      </c>
      <c r="C57" s="4">
        <v>28000</v>
      </c>
      <c r="D57" t="s">
        <v>26</v>
      </c>
      <c r="E57" s="12" t="s">
        <v>218</v>
      </c>
      <c r="F57" s="12" t="s">
        <v>229</v>
      </c>
      <c r="I57" s="4">
        <f t="shared" si="0"/>
        <v>0</v>
      </c>
    </row>
    <row r="58" spans="1:12" x14ac:dyDescent="0.25">
      <c r="A58" s="2">
        <v>44410</v>
      </c>
      <c r="B58" t="s">
        <v>336</v>
      </c>
      <c r="C58" s="4">
        <v>15000</v>
      </c>
      <c r="D58" t="s">
        <v>26</v>
      </c>
      <c r="F58" s="12" t="s">
        <v>229</v>
      </c>
      <c r="I58" s="4">
        <f t="shared" si="0"/>
        <v>0</v>
      </c>
    </row>
    <row r="59" spans="1:12" x14ac:dyDescent="0.25">
      <c r="A59" s="2">
        <v>44411</v>
      </c>
      <c r="B59" t="s">
        <v>337</v>
      </c>
      <c r="C59" s="4">
        <v>14000</v>
      </c>
      <c r="D59" t="s">
        <v>26</v>
      </c>
      <c r="E59" t="s">
        <v>22</v>
      </c>
      <c r="F59" t="s">
        <v>25</v>
      </c>
      <c r="I59" s="4">
        <f t="shared" si="0"/>
        <v>0</v>
      </c>
    </row>
    <row r="60" spans="1:12" x14ac:dyDescent="0.25">
      <c r="A60" s="2">
        <v>44418</v>
      </c>
      <c r="B60" t="s">
        <v>349</v>
      </c>
      <c r="C60" s="4">
        <v>35000</v>
      </c>
      <c r="D60" t="s">
        <v>26</v>
      </c>
      <c r="E60" t="s">
        <v>22</v>
      </c>
      <c r="F60" t="s">
        <v>10</v>
      </c>
      <c r="I60" s="4">
        <f t="shared" si="0"/>
        <v>0</v>
      </c>
    </row>
    <row r="61" spans="1:12" x14ac:dyDescent="0.25">
      <c r="A61" s="2">
        <v>44418</v>
      </c>
      <c r="B61" t="s">
        <v>350</v>
      </c>
      <c r="C61" s="4">
        <v>3500</v>
      </c>
      <c r="D61" t="s">
        <v>26</v>
      </c>
      <c r="F61" t="s">
        <v>10</v>
      </c>
      <c r="I61" s="4">
        <f t="shared" si="0"/>
        <v>0</v>
      </c>
    </row>
    <row r="62" spans="1:12" x14ac:dyDescent="0.25">
      <c r="A62" s="2">
        <v>44420</v>
      </c>
      <c r="B62" t="s">
        <v>351</v>
      </c>
      <c r="C62" s="4">
        <v>8000</v>
      </c>
      <c r="D62" t="s">
        <v>26</v>
      </c>
      <c r="E62" t="s">
        <v>22</v>
      </c>
      <c r="F62" t="s">
        <v>52</v>
      </c>
      <c r="I62" s="4">
        <f t="shared" si="0"/>
        <v>0</v>
      </c>
      <c r="J62" t="s">
        <v>377</v>
      </c>
      <c r="K62" s="19">
        <v>200000</v>
      </c>
      <c r="L62" s="2">
        <v>44454</v>
      </c>
    </row>
    <row r="63" spans="1:12" x14ac:dyDescent="0.25">
      <c r="A63" s="2">
        <v>44446</v>
      </c>
      <c r="B63" t="s">
        <v>379</v>
      </c>
      <c r="C63" s="4">
        <v>8500</v>
      </c>
      <c r="D63" t="s">
        <v>26</v>
      </c>
      <c r="F63" t="s">
        <v>52</v>
      </c>
      <c r="I63" s="4">
        <f t="shared" si="0"/>
        <v>0</v>
      </c>
    </row>
    <row r="64" spans="1:12" x14ac:dyDescent="0.25">
      <c r="A64" s="2">
        <v>44446</v>
      </c>
      <c r="B64" t="s">
        <v>368</v>
      </c>
      <c r="C64" s="4">
        <v>10000</v>
      </c>
      <c r="D64" t="s">
        <v>26</v>
      </c>
      <c r="F64" t="s">
        <v>52</v>
      </c>
      <c r="I64" s="4">
        <f t="shared" si="0"/>
        <v>0</v>
      </c>
    </row>
    <row r="65" spans="1:9" x14ac:dyDescent="0.25">
      <c r="A65" s="2">
        <v>44448</v>
      </c>
      <c r="B65" t="s">
        <v>375</v>
      </c>
      <c r="C65" s="4">
        <v>41500</v>
      </c>
      <c r="D65" t="s">
        <v>26</v>
      </c>
      <c r="E65" t="s">
        <v>218</v>
      </c>
      <c r="F65" t="s">
        <v>52</v>
      </c>
      <c r="I65" s="4">
        <f t="shared" si="0"/>
        <v>0</v>
      </c>
    </row>
    <row r="66" spans="1:9" x14ac:dyDescent="0.25">
      <c r="A66" s="2">
        <v>44469</v>
      </c>
      <c r="B66" t="s">
        <v>385</v>
      </c>
      <c r="C66" s="4">
        <v>10000</v>
      </c>
      <c r="D66" t="s">
        <v>26</v>
      </c>
      <c r="F66" t="s">
        <v>25</v>
      </c>
      <c r="I66" s="4">
        <f t="shared" si="0"/>
        <v>0</v>
      </c>
    </row>
    <row r="67" spans="1:9" x14ac:dyDescent="0.25">
      <c r="A67" s="2">
        <v>44473</v>
      </c>
      <c r="B67" t="s">
        <v>386</v>
      </c>
      <c r="C67" s="4">
        <v>14500</v>
      </c>
      <c r="D67" t="s">
        <v>26</v>
      </c>
      <c r="F67" t="s">
        <v>25</v>
      </c>
      <c r="I67" s="4">
        <f t="shared" si="0"/>
        <v>0</v>
      </c>
    </row>
    <row r="68" spans="1:9" x14ac:dyDescent="0.25">
      <c r="A68" s="2">
        <v>44482</v>
      </c>
      <c r="B68" t="s">
        <v>392</v>
      </c>
      <c r="C68" s="4">
        <v>19500</v>
      </c>
      <c r="D68" t="s">
        <v>26</v>
      </c>
      <c r="F68" t="s">
        <v>10</v>
      </c>
      <c r="I68" s="4">
        <f t="shared" si="0"/>
        <v>0</v>
      </c>
    </row>
    <row r="69" spans="1:9" x14ac:dyDescent="0.25">
      <c r="A69" s="2">
        <v>44483</v>
      </c>
      <c r="B69" t="s">
        <v>398</v>
      </c>
      <c r="C69" s="4">
        <v>25000</v>
      </c>
      <c r="D69" t="s">
        <v>26</v>
      </c>
      <c r="E69" t="s">
        <v>22</v>
      </c>
      <c r="F69" t="s">
        <v>52</v>
      </c>
      <c r="I69" s="4">
        <f t="shared" si="0"/>
        <v>0</v>
      </c>
    </row>
    <row r="70" spans="1:9" x14ac:dyDescent="0.25">
      <c r="A70" s="2">
        <v>44484</v>
      </c>
      <c r="B70" t="s">
        <v>399</v>
      </c>
      <c r="C70" s="4">
        <v>4500</v>
      </c>
      <c r="D70" t="s">
        <v>26</v>
      </c>
      <c r="E70" t="s">
        <v>22</v>
      </c>
      <c r="F70" t="s">
        <v>25</v>
      </c>
      <c r="I70" s="4">
        <f t="shared" si="0"/>
        <v>0</v>
      </c>
    </row>
    <row r="71" spans="1:9" x14ac:dyDescent="0.25">
      <c r="A71" s="2">
        <v>44484</v>
      </c>
      <c r="B71" t="s">
        <v>403</v>
      </c>
      <c r="C71" s="4">
        <v>41000</v>
      </c>
      <c r="D71" t="s">
        <v>26</v>
      </c>
      <c r="E71" t="s">
        <v>218</v>
      </c>
      <c r="F71" t="s">
        <v>52</v>
      </c>
      <c r="I71" s="4">
        <f t="shared" si="0"/>
        <v>0</v>
      </c>
    </row>
    <row r="72" spans="1:9" x14ac:dyDescent="0.25">
      <c r="A72" s="2">
        <v>44488</v>
      </c>
      <c r="B72" t="s">
        <v>402</v>
      </c>
      <c r="C72" s="4">
        <v>21000</v>
      </c>
      <c r="D72" t="s">
        <v>26</v>
      </c>
      <c r="E72" t="s">
        <v>218</v>
      </c>
      <c r="F72" t="s">
        <v>52</v>
      </c>
      <c r="I72" s="4">
        <f t="shared" si="0"/>
        <v>0</v>
      </c>
    </row>
    <row r="73" spans="1:9" x14ac:dyDescent="0.25">
      <c r="A73" s="2">
        <v>44490</v>
      </c>
      <c r="B73" t="s">
        <v>406</v>
      </c>
      <c r="C73" s="4">
        <v>60000</v>
      </c>
      <c r="D73" t="s">
        <v>26</v>
      </c>
      <c r="F73" t="s">
        <v>52</v>
      </c>
      <c r="I73" s="4">
        <f t="shared" si="0"/>
        <v>0</v>
      </c>
    </row>
    <row r="74" spans="1:9" x14ac:dyDescent="0.25">
      <c r="A74" s="2">
        <v>44495</v>
      </c>
      <c r="B74" t="s">
        <v>409</v>
      </c>
      <c r="C74" s="4">
        <v>10000</v>
      </c>
      <c r="D74" t="s">
        <v>26</v>
      </c>
      <c r="F74" t="s">
        <v>25</v>
      </c>
      <c r="I74" s="4">
        <v>0</v>
      </c>
    </row>
    <row r="75" spans="1:9" x14ac:dyDescent="0.25">
      <c r="A75" s="2">
        <v>44503</v>
      </c>
      <c r="B75" t="s">
        <v>413</v>
      </c>
      <c r="C75" s="4">
        <v>35000</v>
      </c>
      <c r="D75" t="s">
        <v>26</v>
      </c>
      <c r="F75" t="s">
        <v>25</v>
      </c>
      <c r="I75" s="4">
        <f t="shared" si="0"/>
        <v>0</v>
      </c>
    </row>
    <row r="76" spans="1:9" x14ac:dyDescent="0.25">
      <c r="A76" s="2">
        <v>44509</v>
      </c>
      <c r="B76" t="s">
        <v>417</v>
      </c>
      <c r="C76" s="4">
        <v>72000</v>
      </c>
      <c r="D76" t="s">
        <v>26</v>
      </c>
      <c r="F76" t="s">
        <v>25</v>
      </c>
      <c r="I76" s="4">
        <f t="shared" si="0"/>
        <v>0</v>
      </c>
    </row>
    <row r="77" spans="1:9" x14ac:dyDescent="0.25">
      <c r="A77" s="2">
        <v>44524</v>
      </c>
      <c r="B77" t="s">
        <v>431</v>
      </c>
      <c r="C77" s="4">
        <v>6000</v>
      </c>
      <c r="D77" t="s">
        <v>26</v>
      </c>
      <c r="E77" t="s">
        <v>22</v>
      </c>
      <c r="F77" t="s">
        <v>25</v>
      </c>
      <c r="I77" s="4">
        <f t="shared" si="0"/>
        <v>0</v>
      </c>
    </row>
    <row r="78" spans="1:9" x14ac:dyDescent="0.25">
      <c r="A78" s="2">
        <v>44525</v>
      </c>
      <c r="B78" t="s">
        <v>432</v>
      </c>
      <c r="C78" s="4">
        <v>60000</v>
      </c>
      <c r="D78" t="s">
        <v>26</v>
      </c>
      <c r="E78" t="s">
        <v>218</v>
      </c>
      <c r="F78" t="s">
        <v>25</v>
      </c>
      <c r="I78" s="4">
        <f t="shared" si="0"/>
        <v>0</v>
      </c>
    </row>
    <row r="79" spans="1:9" x14ac:dyDescent="0.25">
      <c r="A79" s="2">
        <v>44525</v>
      </c>
      <c r="B79" t="s">
        <v>433</v>
      </c>
      <c r="C79" s="4">
        <v>40000</v>
      </c>
      <c r="D79" t="s">
        <v>26</v>
      </c>
      <c r="E79" t="s">
        <v>218</v>
      </c>
      <c r="F79" t="s">
        <v>25</v>
      </c>
      <c r="I79" s="4">
        <f t="shared" si="0"/>
        <v>0</v>
      </c>
    </row>
    <row r="80" spans="1:9" x14ac:dyDescent="0.25">
      <c r="A80" s="2">
        <v>44529</v>
      </c>
      <c r="B80" t="s">
        <v>435</v>
      </c>
      <c r="C80" s="4">
        <v>15000</v>
      </c>
      <c r="D80" t="s">
        <v>26</v>
      </c>
      <c r="E80" t="s">
        <v>22</v>
      </c>
      <c r="F80" t="s">
        <v>25</v>
      </c>
      <c r="I80" s="4">
        <f t="shared" si="0"/>
        <v>0</v>
      </c>
    </row>
    <row r="81" spans="1:12" x14ac:dyDescent="0.25">
      <c r="A81" s="2">
        <v>44530</v>
      </c>
      <c r="B81" t="s">
        <v>437</v>
      </c>
      <c r="C81" s="4">
        <v>30000</v>
      </c>
      <c r="D81" t="s">
        <v>26</v>
      </c>
      <c r="E81" t="s">
        <v>218</v>
      </c>
      <c r="F81" t="s">
        <v>292</v>
      </c>
      <c r="I81" s="4">
        <f t="shared" si="0"/>
        <v>0</v>
      </c>
    </row>
    <row r="82" spans="1:12" x14ac:dyDescent="0.25">
      <c r="A82" s="2">
        <v>44567</v>
      </c>
      <c r="B82" t="s">
        <v>824</v>
      </c>
      <c r="C82" s="4">
        <v>75000</v>
      </c>
      <c r="D82" t="s">
        <v>26</v>
      </c>
      <c r="F82" t="s">
        <v>25</v>
      </c>
      <c r="I82" s="4">
        <f t="shared" si="0"/>
        <v>0</v>
      </c>
    </row>
    <row r="83" spans="1:12" x14ac:dyDescent="0.25">
      <c r="A83" s="2">
        <v>44578</v>
      </c>
      <c r="B83" t="s">
        <v>498</v>
      </c>
      <c r="C83" s="4">
        <v>15000</v>
      </c>
      <c r="D83" t="s">
        <v>26</v>
      </c>
      <c r="E83" t="s">
        <v>218</v>
      </c>
      <c r="F83" t="s">
        <v>52</v>
      </c>
      <c r="I83" s="4">
        <f t="shared" si="0"/>
        <v>0</v>
      </c>
    </row>
    <row r="84" spans="1:12" x14ac:dyDescent="0.25">
      <c r="A84" s="2">
        <v>44582</v>
      </c>
      <c r="B84" t="s">
        <v>70</v>
      </c>
      <c r="C84" s="4">
        <v>4000</v>
      </c>
      <c r="D84" t="s">
        <v>26</v>
      </c>
      <c r="E84" t="s">
        <v>22</v>
      </c>
      <c r="F84" t="s">
        <v>25</v>
      </c>
      <c r="I84" s="4">
        <f t="shared" si="0"/>
        <v>0</v>
      </c>
    </row>
    <row r="85" spans="1:12" x14ac:dyDescent="0.25">
      <c r="A85" s="2">
        <v>44585</v>
      </c>
      <c r="B85" t="s">
        <v>515</v>
      </c>
      <c r="C85" s="4">
        <v>65000</v>
      </c>
      <c r="D85" t="s">
        <v>26</v>
      </c>
      <c r="E85" t="s">
        <v>218</v>
      </c>
      <c r="F85" t="s">
        <v>25</v>
      </c>
      <c r="I85" s="4">
        <f t="shared" si="0"/>
        <v>0</v>
      </c>
    </row>
    <row r="86" spans="1:12" x14ac:dyDescent="0.25">
      <c r="A86" s="2">
        <v>44599</v>
      </c>
      <c r="B86" t="s">
        <v>527</v>
      </c>
      <c r="C86" s="4">
        <v>25000</v>
      </c>
      <c r="D86" t="s">
        <v>26</v>
      </c>
      <c r="F86" t="s">
        <v>25</v>
      </c>
      <c r="I86" s="4">
        <f t="shared" si="0"/>
        <v>0</v>
      </c>
    </row>
    <row r="87" spans="1:12" x14ac:dyDescent="0.25">
      <c r="A87" s="2">
        <v>44599</v>
      </c>
      <c r="B87" t="s">
        <v>528</v>
      </c>
      <c r="C87" s="4">
        <v>3500</v>
      </c>
      <c r="D87" t="s">
        <v>26</v>
      </c>
      <c r="F87" t="s">
        <v>25</v>
      </c>
      <c r="I87" s="4">
        <f t="shared" si="0"/>
        <v>0</v>
      </c>
    </row>
    <row r="88" spans="1:12" x14ac:dyDescent="0.25">
      <c r="A88" s="2">
        <v>44600</v>
      </c>
      <c r="B88" t="s">
        <v>529</v>
      </c>
      <c r="C88" s="4">
        <v>6000</v>
      </c>
      <c r="D88" t="s">
        <v>26</v>
      </c>
      <c r="E88" t="s">
        <v>22</v>
      </c>
      <c r="F88" t="s">
        <v>52</v>
      </c>
      <c r="I88" s="4">
        <f t="shared" si="0"/>
        <v>0</v>
      </c>
    </row>
    <row r="89" spans="1:12" x14ac:dyDescent="0.25">
      <c r="A89" s="2">
        <v>44603</v>
      </c>
      <c r="B89" t="s">
        <v>535</v>
      </c>
      <c r="C89" s="4">
        <v>19000</v>
      </c>
      <c r="D89" t="s">
        <v>26</v>
      </c>
      <c r="F89" t="s">
        <v>52</v>
      </c>
      <c r="I89" s="4">
        <f t="shared" si="0"/>
        <v>0</v>
      </c>
    </row>
    <row r="90" spans="1:12" x14ac:dyDescent="0.25">
      <c r="A90" s="2">
        <v>44609</v>
      </c>
      <c r="B90" t="s">
        <v>540</v>
      </c>
      <c r="C90" s="4">
        <v>11000</v>
      </c>
      <c r="D90" t="s">
        <v>26</v>
      </c>
      <c r="F90" t="s">
        <v>25</v>
      </c>
      <c r="I90" s="4">
        <f t="shared" si="0"/>
        <v>0</v>
      </c>
    </row>
    <row r="91" spans="1:12" x14ac:dyDescent="0.25">
      <c r="A91" s="2">
        <v>44614</v>
      </c>
      <c r="B91" t="s">
        <v>542</v>
      </c>
      <c r="C91" s="4">
        <v>5000</v>
      </c>
      <c r="D91" t="s">
        <v>26</v>
      </c>
      <c r="F91" t="s">
        <v>25</v>
      </c>
      <c r="I91" s="4">
        <f t="shared" si="0"/>
        <v>0</v>
      </c>
    </row>
    <row r="92" spans="1:12" x14ac:dyDescent="0.25">
      <c r="A92" s="2">
        <v>44636</v>
      </c>
      <c r="B92" t="s">
        <v>564</v>
      </c>
      <c r="C92" s="4">
        <v>20000</v>
      </c>
      <c r="D92" t="s">
        <v>26</v>
      </c>
      <c r="F92" t="s">
        <v>229</v>
      </c>
      <c r="I92" s="4">
        <f t="shared" si="0"/>
        <v>0</v>
      </c>
    </row>
    <row r="93" spans="1:12" x14ac:dyDescent="0.25">
      <c r="A93" s="2">
        <v>44638</v>
      </c>
      <c r="B93" t="s">
        <v>565</v>
      </c>
      <c r="C93" s="4">
        <v>20000</v>
      </c>
      <c r="D93" t="s">
        <v>26</v>
      </c>
      <c r="F93" t="s">
        <v>25</v>
      </c>
      <c r="I93" s="4">
        <f t="shared" si="0"/>
        <v>0</v>
      </c>
    </row>
    <row r="94" spans="1:12" x14ac:dyDescent="0.25">
      <c r="A94" s="2">
        <v>44641</v>
      </c>
      <c r="B94" t="s">
        <v>572</v>
      </c>
      <c r="C94" s="4">
        <v>56000</v>
      </c>
      <c r="D94" t="s">
        <v>26</v>
      </c>
      <c r="F94" t="s">
        <v>25</v>
      </c>
      <c r="I94" s="4">
        <f t="shared" si="0"/>
        <v>0</v>
      </c>
      <c r="J94" t="s">
        <v>377</v>
      </c>
      <c r="K94">
        <v>100000</v>
      </c>
      <c r="L94" s="2">
        <v>44672</v>
      </c>
    </row>
    <row r="95" spans="1:12" x14ac:dyDescent="0.25">
      <c r="A95" s="2">
        <v>44641</v>
      </c>
      <c r="B95" t="s">
        <v>573</v>
      </c>
      <c r="C95" s="4">
        <v>35000</v>
      </c>
      <c r="D95" t="s">
        <v>26</v>
      </c>
      <c r="F95" t="s">
        <v>25</v>
      </c>
      <c r="I95" s="4">
        <f t="shared" si="0"/>
        <v>0</v>
      </c>
    </row>
    <row r="96" spans="1:12" x14ac:dyDescent="0.25">
      <c r="A96" s="2">
        <v>44659</v>
      </c>
      <c r="B96" t="s">
        <v>588</v>
      </c>
      <c r="C96" s="4">
        <v>18500</v>
      </c>
      <c r="D96" t="s">
        <v>26</v>
      </c>
      <c r="F96" t="s">
        <v>25</v>
      </c>
      <c r="I96" s="4">
        <f t="shared" si="0"/>
        <v>0</v>
      </c>
    </row>
    <row r="97" spans="1:9" x14ac:dyDescent="0.25">
      <c r="A97" s="2">
        <v>44664</v>
      </c>
      <c r="B97" t="s">
        <v>595</v>
      </c>
      <c r="C97" s="4">
        <v>9000</v>
      </c>
      <c r="D97" t="s">
        <v>157</v>
      </c>
      <c r="E97" t="s">
        <v>22</v>
      </c>
      <c r="F97" t="s">
        <v>25</v>
      </c>
      <c r="I97" s="4">
        <f t="shared" si="0"/>
        <v>0</v>
      </c>
    </row>
    <row r="98" spans="1:9" x14ac:dyDescent="0.25">
      <c r="A98" s="2">
        <v>44672</v>
      </c>
      <c r="B98" t="s">
        <v>601</v>
      </c>
      <c r="C98" s="4">
        <v>28000</v>
      </c>
      <c r="D98" t="s">
        <v>26</v>
      </c>
      <c r="E98" t="s">
        <v>218</v>
      </c>
      <c r="F98" t="s">
        <v>292</v>
      </c>
      <c r="I98" s="4">
        <f t="shared" si="0"/>
        <v>0</v>
      </c>
    </row>
    <row r="99" spans="1:9" x14ac:dyDescent="0.25">
      <c r="A99" s="2">
        <v>44697</v>
      </c>
      <c r="B99" t="s">
        <v>601</v>
      </c>
      <c r="C99" s="4">
        <v>45000</v>
      </c>
      <c r="D99" t="s">
        <v>26</v>
      </c>
      <c r="F99" t="s">
        <v>270</v>
      </c>
      <c r="I99" s="4">
        <f t="shared" si="0"/>
        <v>0</v>
      </c>
    </row>
    <row r="100" spans="1:9" x14ac:dyDescent="0.25">
      <c r="A100" s="2">
        <v>44701</v>
      </c>
      <c r="B100" t="s">
        <v>621</v>
      </c>
      <c r="C100" s="4">
        <v>51500</v>
      </c>
      <c r="D100" t="s">
        <v>26</v>
      </c>
      <c r="F100" t="s">
        <v>10</v>
      </c>
      <c r="I100" s="4">
        <f t="shared" si="0"/>
        <v>0</v>
      </c>
    </row>
    <row r="101" spans="1:9" x14ac:dyDescent="0.25">
      <c r="A101" s="2">
        <v>44704</v>
      </c>
      <c r="B101" t="s">
        <v>626</v>
      </c>
      <c r="C101" s="4">
        <v>6000</v>
      </c>
      <c r="D101" t="s">
        <v>26</v>
      </c>
      <c r="F101" t="s">
        <v>10</v>
      </c>
      <c r="I101" s="4">
        <f t="shared" si="0"/>
        <v>0</v>
      </c>
    </row>
    <row r="102" spans="1:9" x14ac:dyDescent="0.25">
      <c r="A102" s="2">
        <v>44712</v>
      </c>
      <c r="B102" t="s">
        <v>632</v>
      </c>
      <c r="C102" s="4">
        <v>9000</v>
      </c>
      <c r="D102" t="s">
        <v>26</v>
      </c>
      <c r="F102" t="s">
        <v>270</v>
      </c>
      <c r="I102" s="4">
        <f t="shared" si="0"/>
        <v>0</v>
      </c>
    </row>
    <row r="103" spans="1:9" x14ac:dyDescent="0.25">
      <c r="A103" s="2">
        <v>44721</v>
      </c>
      <c r="B103" t="s">
        <v>636</v>
      </c>
      <c r="C103" s="4">
        <v>9000</v>
      </c>
      <c r="D103" t="s">
        <v>26</v>
      </c>
      <c r="F103" t="s">
        <v>10</v>
      </c>
      <c r="I103" s="4">
        <f t="shared" si="0"/>
        <v>0</v>
      </c>
    </row>
    <row r="104" spans="1:9" x14ac:dyDescent="0.25">
      <c r="A104" s="2">
        <v>44727</v>
      </c>
      <c r="B104" t="s">
        <v>644</v>
      </c>
      <c r="C104" s="4">
        <v>35500</v>
      </c>
      <c r="D104" t="s">
        <v>26</v>
      </c>
      <c r="F104" t="s">
        <v>52</v>
      </c>
      <c r="I104" s="4">
        <f t="shared" si="0"/>
        <v>0</v>
      </c>
    </row>
    <row r="105" spans="1:9" x14ac:dyDescent="0.25">
      <c r="A105" s="2">
        <v>44734</v>
      </c>
      <c r="B105" t="s">
        <v>647</v>
      </c>
      <c r="C105" s="4">
        <v>100000</v>
      </c>
      <c r="D105" t="s">
        <v>26</v>
      </c>
      <c r="F105" t="s">
        <v>229</v>
      </c>
      <c r="I105" s="4">
        <f t="shared" si="0"/>
        <v>0</v>
      </c>
    </row>
    <row r="106" spans="1:9" x14ac:dyDescent="0.25">
      <c r="A106" s="2">
        <v>44746</v>
      </c>
      <c r="B106" t="s">
        <v>656</v>
      </c>
      <c r="C106" s="4">
        <v>13500</v>
      </c>
      <c r="D106" t="s">
        <v>26</v>
      </c>
      <c r="F106" t="s">
        <v>10</v>
      </c>
      <c r="I106" s="4">
        <f t="shared" si="0"/>
        <v>0</v>
      </c>
    </row>
    <row r="107" spans="1:9" x14ac:dyDescent="0.25">
      <c r="A107" s="2">
        <v>44763</v>
      </c>
      <c r="B107" t="s">
        <v>670</v>
      </c>
      <c r="C107" s="4">
        <v>39500</v>
      </c>
      <c r="D107" t="s">
        <v>26</v>
      </c>
      <c r="F107" t="s">
        <v>25</v>
      </c>
      <c r="I107" s="4">
        <f t="shared" si="0"/>
        <v>0</v>
      </c>
    </row>
    <row r="108" spans="1:9" x14ac:dyDescent="0.25">
      <c r="A108" s="2">
        <v>44769</v>
      </c>
      <c r="B108" t="s">
        <v>676</v>
      </c>
      <c r="C108" s="4">
        <v>13000</v>
      </c>
      <c r="D108" t="s">
        <v>26</v>
      </c>
      <c r="F108" t="s">
        <v>25</v>
      </c>
      <c r="I108" s="4">
        <f t="shared" si="0"/>
        <v>0</v>
      </c>
    </row>
    <row r="109" spans="1:9" x14ac:dyDescent="0.25">
      <c r="A109" s="2">
        <v>44769</v>
      </c>
      <c r="B109" t="s">
        <v>677</v>
      </c>
      <c r="C109" s="4">
        <v>25000</v>
      </c>
      <c r="D109" t="s">
        <v>26</v>
      </c>
      <c r="F109" t="s">
        <v>25</v>
      </c>
      <c r="I109" s="4">
        <f t="shared" si="0"/>
        <v>0</v>
      </c>
    </row>
    <row r="110" spans="1:9" x14ac:dyDescent="0.25">
      <c r="A110" s="2">
        <v>44775</v>
      </c>
      <c r="B110" t="s">
        <v>679</v>
      </c>
      <c r="C110" s="4">
        <v>12000</v>
      </c>
      <c r="D110" t="s">
        <v>26</v>
      </c>
      <c r="F110" t="s">
        <v>292</v>
      </c>
      <c r="I110" s="4">
        <f t="shared" si="0"/>
        <v>0</v>
      </c>
    </row>
    <row r="111" spans="1:9" x14ac:dyDescent="0.25">
      <c r="A111" s="2">
        <v>44778</v>
      </c>
      <c r="B111" t="s">
        <v>687</v>
      </c>
      <c r="C111" s="4">
        <v>60000</v>
      </c>
      <c r="D111" t="s">
        <v>26</v>
      </c>
      <c r="F111" t="s">
        <v>52</v>
      </c>
      <c r="I111" s="4">
        <f t="shared" si="0"/>
        <v>0</v>
      </c>
    </row>
    <row r="112" spans="1:9" x14ac:dyDescent="0.25">
      <c r="A112" s="2">
        <v>44778</v>
      </c>
      <c r="B112" t="s">
        <v>688</v>
      </c>
      <c r="C112" s="4">
        <v>8000</v>
      </c>
      <c r="D112" t="s">
        <v>26</v>
      </c>
      <c r="F112" t="s">
        <v>25</v>
      </c>
      <c r="I112" s="4">
        <f t="shared" si="0"/>
        <v>0</v>
      </c>
    </row>
    <row r="113" spans="1:9" x14ac:dyDescent="0.25">
      <c r="A113" s="2">
        <v>44816</v>
      </c>
      <c r="B113" t="s">
        <v>730</v>
      </c>
      <c r="C113" s="4">
        <v>50000</v>
      </c>
      <c r="D113" t="s">
        <v>26</v>
      </c>
      <c r="F113" t="s">
        <v>25</v>
      </c>
      <c r="I113" s="4">
        <f t="shared" si="0"/>
        <v>0</v>
      </c>
    </row>
    <row r="114" spans="1:9" x14ac:dyDescent="0.25">
      <c r="A114" s="2">
        <v>44816</v>
      </c>
      <c r="B114" t="s">
        <v>731</v>
      </c>
      <c r="C114" s="4">
        <v>16000</v>
      </c>
      <c r="D114" t="s">
        <v>26</v>
      </c>
      <c r="F114" t="s">
        <v>25</v>
      </c>
      <c r="I114" s="4">
        <f t="shared" si="0"/>
        <v>0</v>
      </c>
    </row>
    <row r="115" spans="1:9" x14ac:dyDescent="0.25">
      <c r="A115" s="2">
        <v>44832</v>
      </c>
      <c r="B115" t="s">
        <v>745</v>
      </c>
      <c r="C115" s="4">
        <v>10000</v>
      </c>
      <c r="D115" t="s">
        <v>26</v>
      </c>
      <c r="F115" t="s">
        <v>25</v>
      </c>
      <c r="I115" s="4">
        <f t="shared" si="0"/>
        <v>0</v>
      </c>
    </row>
    <row r="116" spans="1:9" x14ac:dyDescent="0.25">
      <c r="A116" s="2">
        <v>44838</v>
      </c>
      <c r="B116" t="s">
        <v>751</v>
      </c>
      <c r="C116" s="4">
        <v>48000</v>
      </c>
      <c r="D116" t="s">
        <v>157</v>
      </c>
      <c r="F116" t="s">
        <v>25</v>
      </c>
      <c r="I116" s="4">
        <f t="shared" si="0"/>
        <v>0</v>
      </c>
    </row>
    <row r="117" spans="1:9" x14ac:dyDescent="0.25">
      <c r="A117" s="2">
        <v>44840</v>
      </c>
      <c r="B117" t="s">
        <v>754</v>
      </c>
      <c r="C117" s="4">
        <v>34000</v>
      </c>
      <c r="D117" t="s">
        <v>26</v>
      </c>
      <c r="F117" t="s">
        <v>10</v>
      </c>
      <c r="I117" s="4">
        <f t="shared" si="0"/>
        <v>0</v>
      </c>
    </row>
    <row r="118" spans="1:9" x14ac:dyDescent="0.25">
      <c r="A118" s="2">
        <v>44846</v>
      </c>
      <c r="B118" t="s">
        <v>759</v>
      </c>
      <c r="C118" s="4">
        <v>26000</v>
      </c>
      <c r="D118" t="s">
        <v>26</v>
      </c>
      <c r="F118" t="s">
        <v>270</v>
      </c>
      <c r="I118" s="4">
        <f t="shared" si="0"/>
        <v>0</v>
      </c>
    </row>
    <row r="119" spans="1:9" x14ac:dyDescent="0.25">
      <c r="A119" s="2">
        <v>44855</v>
      </c>
      <c r="B119" t="s">
        <v>765</v>
      </c>
      <c r="C119" s="4">
        <v>98000</v>
      </c>
      <c r="D119" t="s">
        <v>26</v>
      </c>
      <c r="F119" t="s">
        <v>52</v>
      </c>
      <c r="I119" s="4">
        <f t="shared" si="0"/>
        <v>0</v>
      </c>
    </row>
    <row r="120" spans="1:9" x14ac:dyDescent="0.25">
      <c r="A120" s="2">
        <v>44855</v>
      </c>
      <c r="B120" t="s">
        <v>766</v>
      </c>
      <c r="C120" s="4">
        <v>14000</v>
      </c>
      <c r="D120" t="s">
        <v>26</v>
      </c>
      <c r="F120" t="s">
        <v>52</v>
      </c>
      <c r="I120" s="4">
        <f t="shared" si="0"/>
        <v>0</v>
      </c>
    </row>
    <row r="121" spans="1:9" x14ac:dyDescent="0.25">
      <c r="A121" s="2">
        <v>44858</v>
      </c>
      <c r="B121" t="s">
        <v>772</v>
      </c>
      <c r="C121" s="4">
        <v>13500</v>
      </c>
      <c r="D121" t="s">
        <v>26</v>
      </c>
      <c r="F121" t="s">
        <v>25</v>
      </c>
      <c r="I121" s="4">
        <f t="shared" si="0"/>
        <v>0</v>
      </c>
    </row>
    <row r="122" spans="1:9" x14ac:dyDescent="0.25">
      <c r="A122" s="2">
        <v>44859</v>
      </c>
      <c r="B122" t="s">
        <v>774</v>
      </c>
      <c r="C122" s="4">
        <v>4000</v>
      </c>
      <c r="D122" t="s">
        <v>26</v>
      </c>
      <c r="F122" t="s">
        <v>25</v>
      </c>
      <c r="I122" s="4">
        <f t="shared" si="0"/>
        <v>0</v>
      </c>
    </row>
    <row r="123" spans="1:9" x14ac:dyDescent="0.25">
      <c r="A123" s="2">
        <v>44869</v>
      </c>
      <c r="B123" t="s">
        <v>782</v>
      </c>
      <c r="C123" s="4">
        <v>125000</v>
      </c>
      <c r="D123" t="s">
        <v>26</v>
      </c>
      <c r="F123" t="s">
        <v>25</v>
      </c>
      <c r="I123" s="4">
        <f t="shared" si="0"/>
        <v>0</v>
      </c>
    </row>
    <row r="124" spans="1:9" x14ac:dyDescent="0.25">
      <c r="A124" s="2">
        <v>44869</v>
      </c>
      <c r="B124" t="s">
        <v>781</v>
      </c>
      <c r="C124" s="4">
        <v>35500</v>
      </c>
      <c r="D124" t="s">
        <v>26</v>
      </c>
      <c r="F124" t="s">
        <v>25</v>
      </c>
      <c r="I124" s="4">
        <f t="shared" ref="I124" si="3">IF(D124="PENDIENTE",C124,0)</f>
        <v>0</v>
      </c>
    </row>
    <row r="125" spans="1:9" x14ac:dyDescent="0.25">
      <c r="A125" s="2">
        <v>44875</v>
      </c>
      <c r="B125" t="s">
        <v>790</v>
      </c>
      <c r="C125" s="4">
        <v>25000</v>
      </c>
      <c r="D125" t="s">
        <v>26</v>
      </c>
      <c r="F125" t="s">
        <v>10</v>
      </c>
      <c r="I125" s="4">
        <f t="shared" si="0"/>
        <v>0</v>
      </c>
    </row>
    <row r="126" spans="1:9" x14ac:dyDescent="0.25">
      <c r="A126" s="2">
        <v>44876</v>
      </c>
      <c r="B126" t="s">
        <v>792</v>
      </c>
      <c r="C126" s="4">
        <v>40500</v>
      </c>
      <c r="D126" t="s">
        <v>26</v>
      </c>
      <c r="F126" t="s">
        <v>25</v>
      </c>
      <c r="I126" s="4">
        <f t="shared" ref="I126:I189" si="4">IF(D126="PENDIENTE",C126,0)</f>
        <v>0</v>
      </c>
    </row>
    <row r="127" spans="1:9" x14ac:dyDescent="0.25">
      <c r="A127" s="2">
        <v>44880</v>
      </c>
      <c r="B127" t="s">
        <v>793</v>
      </c>
      <c r="C127" s="4">
        <v>33000</v>
      </c>
      <c r="D127" t="s">
        <v>26</v>
      </c>
      <c r="F127" t="s">
        <v>25</v>
      </c>
      <c r="I127" s="4">
        <f t="shared" si="4"/>
        <v>0</v>
      </c>
    </row>
    <row r="128" spans="1:9" x14ac:dyDescent="0.25">
      <c r="A128" s="2">
        <v>44886</v>
      </c>
      <c r="B128" t="s">
        <v>798</v>
      </c>
      <c r="C128" s="4">
        <v>15000</v>
      </c>
      <c r="D128" t="s">
        <v>26</v>
      </c>
      <c r="F128" t="s">
        <v>52</v>
      </c>
      <c r="I128" s="4">
        <f t="shared" si="4"/>
        <v>0</v>
      </c>
    </row>
    <row r="129" spans="1:12" x14ac:dyDescent="0.25">
      <c r="A129" s="2">
        <v>44887</v>
      </c>
      <c r="B129" t="s">
        <v>801</v>
      </c>
      <c r="C129" s="4">
        <v>25000</v>
      </c>
      <c r="D129" t="s">
        <v>26</v>
      </c>
      <c r="F129" t="s">
        <v>25</v>
      </c>
      <c r="I129" s="4">
        <f t="shared" si="4"/>
        <v>0</v>
      </c>
    </row>
    <row r="130" spans="1:12" x14ac:dyDescent="0.25">
      <c r="A130" s="2">
        <v>44896</v>
      </c>
      <c r="B130" t="s">
        <v>810</v>
      </c>
      <c r="C130" s="4">
        <v>140900</v>
      </c>
      <c r="D130" t="s">
        <v>26</v>
      </c>
      <c r="F130" t="s">
        <v>10</v>
      </c>
      <c r="I130" s="4">
        <f t="shared" si="4"/>
        <v>0</v>
      </c>
    </row>
    <row r="131" spans="1:12" x14ac:dyDescent="0.25">
      <c r="A131" s="2">
        <v>44909</v>
      </c>
      <c r="B131" t="s">
        <v>822</v>
      </c>
      <c r="C131" s="4">
        <v>10000</v>
      </c>
      <c r="D131" t="s">
        <v>26</v>
      </c>
      <c r="F131" t="s">
        <v>229</v>
      </c>
      <c r="I131" s="4">
        <f t="shared" si="4"/>
        <v>0</v>
      </c>
    </row>
    <row r="132" spans="1:12" x14ac:dyDescent="0.25">
      <c r="A132" s="2">
        <v>44909</v>
      </c>
      <c r="B132" t="s">
        <v>823</v>
      </c>
      <c r="C132" s="4">
        <v>40000</v>
      </c>
      <c r="D132" t="s">
        <v>26</v>
      </c>
      <c r="F132" t="s">
        <v>229</v>
      </c>
      <c r="I132" s="4">
        <f t="shared" si="4"/>
        <v>0</v>
      </c>
    </row>
    <row r="133" spans="1:12" x14ac:dyDescent="0.25">
      <c r="A133" s="2">
        <v>44911</v>
      </c>
      <c r="B133" t="s">
        <v>828</v>
      </c>
      <c r="C133" s="4">
        <v>7900</v>
      </c>
      <c r="D133" t="s">
        <v>26</v>
      </c>
      <c r="F133" t="s">
        <v>25</v>
      </c>
      <c r="I133" s="4">
        <f t="shared" si="4"/>
        <v>0</v>
      </c>
    </row>
    <row r="134" spans="1:12" x14ac:dyDescent="0.25">
      <c r="A134" s="2">
        <v>44914</v>
      </c>
      <c r="B134" t="s">
        <v>834</v>
      </c>
      <c r="C134" s="4">
        <v>8000</v>
      </c>
      <c r="D134" t="s">
        <v>26</v>
      </c>
      <c r="F134" t="s">
        <v>25</v>
      </c>
      <c r="I134" s="4">
        <f t="shared" si="4"/>
        <v>0</v>
      </c>
    </row>
    <row r="135" spans="1:12" x14ac:dyDescent="0.25">
      <c r="A135" s="2">
        <v>44915</v>
      </c>
      <c r="B135" t="s">
        <v>835</v>
      </c>
      <c r="C135" s="4">
        <v>23500</v>
      </c>
      <c r="D135" t="s">
        <v>26</v>
      </c>
      <c r="F135" t="s">
        <v>25</v>
      </c>
      <c r="I135" s="4">
        <f t="shared" si="4"/>
        <v>0</v>
      </c>
    </row>
    <row r="136" spans="1:12" x14ac:dyDescent="0.25">
      <c r="A136" s="2">
        <v>44917</v>
      </c>
      <c r="B136" t="s">
        <v>836</v>
      </c>
      <c r="C136" s="4">
        <v>18000</v>
      </c>
      <c r="D136" t="s">
        <v>26</v>
      </c>
      <c r="F136" t="s">
        <v>25</v>
      </c>
      <c r="I136" s="4">
        <f t="shared" si="4"/>
        <v>0</v>
      </c>
    </row>
    <row r="137" spans="1:12" x14ac:dyDescent="0.25">
      <c r="A137" s="2">
        <v>44921</v>
      </c>
      <c r="B137" t="s">
        <v>843</v>
      </c>
      <c r="C137" s="4">
        <v>56000</v>
      </c>
      <c r="D137" t="s">
        <v>26</v>
      </c>
      <c r="F137" t="s">
        <v>25</v>
      </c>
      <c r="I137" s="4">
        <f t="shared" si="4"/>
        <v>0</v>
      </c>
    </row>
    <row r="138" spans="1:12" x14ac:dyDescent="0.25">
      <c r="A138" s="2">
        <v>44923</v>
      </c>
      <c r="B138" t="s">
        <v>844</v>
      </c>
      <c r="C138" s="4">
        <v>44000</v>
      </c>
      <c r="D138" t="s">
        <v>26</v>
      </c>
      <c r="F138" t="s">
        <v>25</v>
      </c>
      <c r="I138" s="4">
        <f t="shared" si="4"/>
        <v>0</v>
      </c>
    </row>
    <row r="139" spans="1:12" x14ac:dyDescent="0.25">
      <c r="A139" s="2">
        <v>44949</v>
      </c>
      <c r="B139" t="s">
        <v>870</v>
      </c>
      <c r="C139" s="4">
        <v>14000</v>
      </c>
      <c r="D139" t="s">
        <v>26</v>
      </c>
      <c r="F139" t="s">
        <v>229</v>
      </c>
      <c r="I139" s="4">
        <f t="shared" si="4"/>
        <v>0</v>
      </c>
    </row>
    <row r="140" spans="1:12" x14ac:dyDescent="0.25">
      <c r="A140" s="2">
        <v>44951</v>
      </c>
      <c r="B140" t="s">
        <v>872</v>
      </c>
      <c r="C140" s="4">
        <v>25000</v>
      </c>
      <c r="D140" t="s">
        <v>26</v>
      </c>
      <c r="F140" t="s">
        <v>52</v>
      </c>
      <c r="I140" s="4">
        <f t="shared" si="4"/>
        <v>0</v>
      </c>
    </row>
    <row r="141" spans="1:12" x14ac:dyDescent="0.25">
      <c r="A141" s="2">
        <v>44967</v>
      </c>
      <c r="B141" t="s">
        <v>886</v>
      </c>
      <c r="C141" s="4">
        <v>10000</v>
      </c>
      <c r="D141" t="s">
        <v>26</v>
      </c>
      <c r="F141" t="s">
        <v>25</v>
      </c>
      <c r="I141" s="4">
        <f t="shared" si="4"/>
        <v>0</v>
      </c>
      <c r="K141" t="s">
        <v>902</v>
      </c>
      <c r="L141" s="2">
        <v>44984</v>
      </c>
    </row>
    <row r="142" spans="1:12" x14ac:dyDescent="0.25">
      <c r="A142" s="2">
        <v>44967</v>
      </c>
      <c r="B142" t="s">
        <v>887</v>
      </c>
      <c r="C142" s="4">
        <v>30000</v>
      </c>
      <c r="D142" t="s">
        <v>26</v>
      </c>
      <c r="F142" t="s">
        <v>25</v>
      </c>
      <c r="I142" s="4">
        <f t="shared" si="4"/>
        <v>0</v>
      </c>
    </row>
    <row r="143" spans="1:12" x14ac:dyDescent="0.25">
      <c r="A143" s="2">
        <v>44971</v>
      </c>
      <c r="B143" t="s">
        <v>884</v>
      </c>
      <c r="C143" s="4">
        <v>15000</v>
      </c>
      <c r="D143" t="s">
        <v>26</v>
      </c>
      <c r="F143" t="s">
        <v>10</v>
      </c>
      <c r="I143" s="4">
        <f t="shared" si="4"/>
        <v>0</v>
      </c>
    </row>
    <row r="144" spans="1:12" x14ac:dyDescent="0.25">
      <c r="A144" s="2">
        <v>44971</v>
      </c>
      <c r="B144" t="s">
        <v>885</v>
      </c>
      <c r="C144" s="4">
        <v>69000</v>
      </c>
      <c r="D144" t="s">
        <v>26</v>
      </c>
      <c r="F144" t="s">
        <v>25</v>
      </c>
      <c r="I144" s="4">
        <f t="shared" si="4"/>
        <v>0</v>
      </c>
      <c r="K144" t="s">
        <v>902</v>
      </c>
      <c r="L144" s="2">
        <v>44986</v>
      </c>
    </row>
    <row r="145" spans="1:12" x14ac:dyDescent="0.25">
      <c r="A145" s="2">
        <v>44971</v>
      </c>
      <c r="B145" t="s">
        <v>888</v>
      </c>
      <c r="C145" s="4">
        <v>10000</v>
      </c>
      <c r="D145" t="s">
        <v>26</v>
      </c>
      <c r="F145" t="s">
        <v>52</v>
      </c>
      <c r="I145" s="4">
        <f t="shared" si="4"/>
        <v>0</v>
      </c>
    </row>
    <row r="146" spans="1:12" x14ac:dyDescent="0.25">
      <c r="A146" s="2">
        <v>44973</v>
      </c>
      <c r="B146" t="s">
        <v>890</v>
      </c>
      <c r="C146" s="4">
        <v>25000</v>
      </c>
      <c r="D146" t="s">
        <v>26</v>
      </c>
      <c r="F146" t="s">
        <v>25</v>
      </c>
      <c r="I146" s="4">
        <f t="shared" si="4"/>
        <v>0</v>
      </c>
      <c r="K146" t="s">
        <v>902</v>
      </c>
      <c r="L146" s="2">
        <v>44993</v>
      </c>
    </row>
    <row r="147" spans="1:12" x14ac:dyDescent="0.25">
      <c r="A147" s="2">
        <v>44979</v>
      </c>
      <c r="B147" t="s">
        <v>895</v>
      </c>
      <c r="C147" s="4">
        <v>65000</v>
      </c>
      <c r="D147" t="s">
        <v>26</v>
      </c>
      <c r="F147" t="s">
        <v>25</v>
      </c>
      <c r="I147" s="4">
        <f t="shared" si="4"/>
        <v>0</v>
      </c>
    </row>
    <row r="148" spans="1:12" x14ac:dyDescent="0.25">
      <c r="A148" s="2">
        <v>44980</v>
      </c>
      <c r="B148" t="s">
        <v>898</v>
      </c>
      <c r="C148" s="4">
        <v>24000</v>
      </c>
      <c r="D148" t="s">
        <v>26</v>
      </c>
      <c r="F148" t="s">
        <v>25</v>
      </c>
      <c r="I148" s="4">
        <f t="shared" si="4"/>
        <v>0</v>
      </c>
    </row>
    <row r="149" spans="1:12" x14ac:dyDescent="0.25">
      <c r="A149" s="2">
        <v>44981</v>
      </c>
      <c r="B149" t="s">
        <v>899</v>
      </c>
      <c r="C149" s="4">
        <v>10000</v>
      </c>
      <c r="D149" t="s">
        <v>26</v>
      </c>
      <c r="F149" t="s">
        <v>52</v>
      </c>
      <c r="I149" s="4">
        <f t="shared" si="4"/>
        <v>0</v>
      </c>
    </row>
    <row r="150" spans="1:12" x14ac:dyDescent="0.25">
      <c r="A150" s="2">
        <v>44986</v>
      </c>
      <c r="B150" t="s">
        <v>904</v>
      </c>
      <c r="C150" s="4">
        <v>34000</v>
      </c>
      <c r="D150" t="s">
        <v>26</v>
      </c>
      <c r="F150" t="s">
        <v>229</v>
      </c>
      <c r="I150" s="4">
        <f t="shared" si="4"/>
        <v>0</v>
      </c>
    </row>
    <row r="151" spans="1:12" x14ac:dyDescent="0.25">
      <c r="A151" s="2">
        <v>44986</v>
      </c>
      <c r="B151" t="s">
        <v>905</v>
      </c>
      <c r="C151" s="4">
        <v>102000</v>
      </c>
      <c r="D151" t="s">
        <v>26</v>
      </c>
      <c r="F151" t="s">
        <v>25</v>
      </c>
      <c r="I151" s="4">
        <f t="shared" si="4"/>
        <v>0</v>
      </c>
      <c r="K151" t="s">
        <v>938</v>
      </c>
      <c r="L151" s="2">
        <v>45035</v>
      </c>
    </row>
    <row r="152" spans="1:12" x14ac:dyDescent="0.25">
      <c r="A152" s="2">
        <v>44993</v>
      </c>
      <c r="B152" t="s">
        <v>912</v>
      </c>
      <c r="C152" s="4">
        <v>3000</v>
      </c>
      <c r="D152" t="s">
        <v>26</v>
      </c>
      <c r="F152" t="s">
        <v>52</v>
      </c>
      <c r="I152" s="4">
        <f t="shared" si="4"/>
        <v>0</v>
      </c>
    </row>
    <row r="153" spans="1:12" x14ac:dyDescent="0.25">
      <c r="A153" s="2">
        <v>45000</v>
      </c>
      <c r="B153" t="s">
        <v>913</v>
      </c>
      <c r="C153" s="4">
        <v>10000</v>
      </c>
      <c r="D153" t="s">
        <v>26</v>
      </c>
      <c r="F153" t="s">
        <v>25</v>
      </c>
      <c r="I153" s="4">
        <f t="shared" si="4"/>
        <v>0</v>
      </c>
    </row>
    <row r="154" spans="1:12" x14ac:dyDescent="0.25">
      <c r="A154" s="2">
        <v>45006</v>
      </c>
      <c r="B154" t="s">
        <v>918</v>
      </c>
      <c r="C154" s="4">
        <v>2000</v>
      </c>
      <c r="D154" t="s">
        <v>26</v>
      </c>
      <c r="F154" t="s">
        <v>25</v>
      </c>
      <c r="I154" s="4">
        <f t="shared" si="4"/>
        <v>0</v>
      </c>
    </row>
    <row r="155" spans="1:12" x14ac:dyDescent="0.25">
      <c r="A155" s="2">
        <v>45006</v>
      </c>
      <c r="B155" t="s">
        <v>919</v>
      </c>
      <c r="C155" s="4">
        <v>28000</v>
      </c>
      <c r="D155" t="s">
        <v>26</v>
      </c>
      <c r="F155" t="s">
        <v>25</v>
      </c>
      <c r="I155" s="4">
        <f t="shared" si="4"/>
        <v>0</v>
      </c>
      <c r="K155" t="s">
        <v>920</v>
      </c>
      <c r="L155" s="2">
        <v>45007</v>
      </c>
    </row>
    <row r="156" spans="1:12" x14ac:dyDescent="0.25">
      <c r="A156" s="2">
        <v>45022</v>
      </c>
      <c r="B156" t="s">
        <v>924</v>
      </c>
      <c r="C156" s="4">
        <v>5000</v>
      </c>
      <c r="D156" t="s">
        <v>26</v>
      </c>
      <c r="F156" t="s">
        <v>25</v>
      </c>
      <c r="I156" s="4">
        <f t="shared" si="4"/>
        <v>0</v>
      </c>
      <c r="K156" t="s">
        <v>925</v>
      </c>
      <c r="L156" s="2">
        <v>45022</v>
      </c>
    </row>
    <row r="157" spans="1:12" x14ac:dyDescent="0.25">
      <c r="A157" s="2">
        <v>45027</v>
      </c>
      <c r="B157" t="s">
        <v>926</v>
      </c>
      <c r="C157" s="4">
        <v>57000</v>
      </c>
      <c r="D157" t="s">
        <v>26</v>
      </c>
      <c r="F157" t="s">
        <v>52</v>
      </c>
      <c r="I157" s="4">
        <f t="shared" si="4"/>
        <v>0</v>
      </c>
      <c r="K157" t="s">
        <v>954</v>
      </c>
      <c r="L157" s="2">
        <v>45051</v>
      </c>
    </row>
    <row r="158" spans="1:12" x14ac:dyDescent="0.25">
      <c r="A158" s="2">
        <v>45028</v>
      </c>
      <c r="B158" t="s">
        <v>930</v>
      </c>
      <c r="C158" s="4">
        <v>21500</v>
      </c>
      <c r="D158" t="s">
        <v>26</v>
      </c>
      <c r="F158" t="s">
        <v>52</v>
      </c>
      <c r="I158" s="4">
        <f t="shared" si="4"/>
        <v>0</v>
      </c>
    </row>
    <row r="159" spans="1:12" x14ac:dyDescent="0.25">
      <c r="A159" s="2">
        <v>45041</v>
      </c>
      <c r="B159" t="s">
        <v>943</v>
      </c>
      <c r="C159" s="4">
        <v>6000</v>
      </c>
      <c r="D159" t="s">
        <v>26</v>
      </c>
      <c r="F159" t="s">
        <v>52</v>
      </c>
      <c r="I159" s="4">
        <f t="shared" si="4"/>
        <v>0</v>
      </c>
      <c r="K159" t="s">
        <v>984</v>
      </c>
      <c r="L159" s="2">
        <v>45075</v>
      </c>
    </row>
    <row r="160" spans="1:12" x14ac:dyDescent="0.25">
      <c r="A160" s="2">
        <v>45051</v>
      </c>
      <c r="B160" t="s">
        <v>953</v>
      </c>
      <c r="C160" s="4">
        <v>56500</v>
      </c>
      <c r="D160" t="s">
        <v>26</v>
      </c>
      <c r="F160" t="s">
        <v>25</v>
      </c>
      <c r="I160" s="4">
        <f t="shared" si="4"/>
        <v>0</v>
      </c>
      <c r="K160" t="s">
        <v>954</v>
      </c>
      <c r="L160" s="2">
        <v>45089</v>
      </c>
    </row>
    <row r="161" spans="1:12" x14ac:dyDescent="0.25">
      <c r="A161" s="2">
        <v>45061</v>
      </c>
      <c r="B161" t="s">
        <v>970</v>
      </c>
      <c r="C161" s="4">
        <v>12000</v>
      </c>
      <c r="D161" t="s">
        <v>26</v>
      </c>
      <c r="F161" t="s">
        <v>25</v>
      </c>
      <c r="I161" s="4">
        <f t="shared" si="4"/>
        <v>0</v>
      </c>
      <c r="K161" t="s">
        <v>954</v>
      </c>
      <c r="L161" s="2">
        <v>45099</v>
      </c>
    </row>
    <row r="162" spans="1:12" x14ac:dyDescent="0.25">
      <c r="A162" s="2">
        <v>45058</v>
      </c>
      <c r="B162" t="s">
        <v>971</v>
      </c>
      <c r="C162" s="4">
        <v>100000</v>
      </c>
      <c r="D162" t="s">
        <v>26</v>
      </c>
      <c r="F162" t="s">
        <v>25</v>
      </c>
      <c r="I162" s="4">
        <f t="shared" si="4"/>
        <v>0</v>
      </c>
    </row>
    <row r="163" spans="1:12" x14ac:dyDescent="0.25">
      <c r="A163" s="2">
        <v>45075</v>
      </c>
      <c r="B163" t="s">
        <v>982</v>
      </c>
      <c r="C163" s="4">
        <v>75500</v>
      </c>
      <c r="D163" t="s">
        <v>26</v>
      </c>
      <c r="F163" t="s">
        <v>25</v>
      </c>
      <c r="I163" s="4">
        <f t="shared" si="4"/>
        <v>0</v>
      </c>
    </row>
    <row r="164" spans="1:12" x14ac:dyDescent="0.25">
      <c r="A164" s="2">
        <v>45078</v>
      </c>
      <c r="B164" t="s">
        <v>989</v>
      </c>
      <c r="C164" s="4">
        <v>48500</v>
      </c>
      <c r="D164" t="s">
        <v>26</v>
      </c>
      <c r="F164" t="s">
        <v>25</v>
      </c>
      <c r="I164" s="4">
        <f t="shared" si="4"/>
        <v>0</v>
      </c>
    </row>
    <row r="165" spans="1:12" x14ac:dyDescent="0.25">
      <c r="A165" s="2">
        <v>45079</v>
      </c>
      <c r="B165" t="s">
        <v>991</v>
      </c>
      <c r="C165" s="4">
        <v>15000</v>
      </c>
      <c r="D165" t="s">
        <v>26</v>
      </c>
      <c r="F165" t="s">
        <v>25</v>
      </c>
      <c r="I165" s="4">
        <f t="shared" si="4"/>
        <v>0</v>
      </c>
    </row>
    <row r="166" spans="1:12" x14ac:dyDescent="0.25">
      <c r="A166" s="2">
        <v>45082</v>
      </c>
      <c r="B166" t="s">
        <v>994</v>
      </c>
      <c r="C166" s="4">
        <v>20000</v>
      </c>
      <c r="D166" t="s">
        <v>26</v>
      </c>
      <c r="F166" t="s">
        <v>25</v>
      </c>
      <c r="I166" s="4">
        <f t="shared" si="4"/>
        <v>0</v>
      </c>
      <c r="K166" t="s">
        <v>902</v>
      </c>
      <c r="L166" s="2">
        <v>45106</v>
      </c>
    </row>
    <row r="167" spans="1:12" x14ac:dyDescent="0.25">
      <c r="A167" s="2">
        <v>45086</v>
      </c>
      <c r="B167" t="s">
        <v>997</v>
      </c>
      <c r="C167" s="4">
        <v>20000</v>
      </c>
      <c r="D167" t="s">
        <v>26</v>
      </c>
      <c r="F167" t="s">
        <v>25</v>
      </c>
      <c r="I167" s="4">
        <f t="shared" si="4"/>
        <v>0</v>
      </c>
      <c r="K167" t="s">
        <v>1024</v>
      </c>
      <c r="L167" s="2">
        <v>45110</v>
      </c>
    </row>
    <row r="168" spans="1:12" x14ac:dyDescent="0.25">
      <c r="A168" s="2">
        <v>45086</v>
      </c>
      <c r="B168" t="s">
        <v>998</v>
      </c>
      <c r="C168" s="4">
        <v>90000</v>
      </c>
      <c r="D168" t="s">
        <v>26</v>
      </c>
      <c r="F168" t="s">
        <v>25</v>
      </c>
      <c r="I168" s="4">
        <f t="shared" si="4"/>
        <v>0</v>
      </c>
      <c r="K168" t="s">
        <v>902</v>
      </c>
      <c r="L168" s="2">
        <v>45112</v>
      </c>
    </row>
    <row r="169" spans="1:12" x14ac:dyDescent="0.25">
      <c r="A169" s="2">
        <v>45089</v>
      </c>
      <c r="B169" t="s">
        <v>1000</v>
      </c>
      <c r="C169" s="4">
        <v>6500</v>
      </c>
      <c r="D169" t="s">
        <v>26</v>
      </c>
      <c r="F169" t="s">
        <v>10</v>
      </c>
      <c r="I169" s="4">
        <f t="shared" si="4"/>
        <v>0</v>
      </c>
      <c r="L169" s="2"/>
    </row>
    <row r="170" spans="1:12" x14ac:dyDescent="0.25">
      <c r="A170" s="2">
        <v>45093</v>
      </c>
      <c r="B170" t="s">
        <v>1010</v>
      </c>
      <c r="C170" s="4">
        <v>13000</v>
      </c>
      <c r="D170" t="s">
        <v>26</v>
      </c>
      <c r="F170" t="s">
        <v>270</v>
      </c>
      <c r="I170" s="4">
        <f t="shared" si="4"/>
        <v>0</v>
      </c>
    </row>
    <row r="171" spans="1:12" x14ac:dyDescent="0.25">
      <c r="A171" s="2">
        <v>45099</v>
      </c>
      <c r="B171" t="s">
        <v>1016</v>
      </c>
      <c r="C171" s="4">
        <v>10500</v>
      </c>
      <c r="D171" t="s">
        <v>26</v>
      </c>
      <c r="F171" t="s">
        <v>270</v>
      </c>
      <c r="I171" s="4">
        <f t="shared" si="4"/>
        <v>0</v>
      </c>
    </row>
    <row r="172" spans="1:12" x14ac:dyDescent="0.25">
      <c r="A172" s="2">
        <v>45100</v>
      </c>
      <c r="B172" t="s">
        <v>1017</v>
      </c>
      <c r="C172" s="4">
        <v>8000</v>
      </c>
      <c r="D172" t="s">
        <v>26</v>
      </c>
      <c r="F172" t="s">
        <v>25</v>
      </c>
      <c r="I172" s="4">
        <f t="shared" si="4"/>
        <v>0</v>
      </c>
    </row>
    <row r="173" spans="1:12" x14ac:dyDescent="0.25">
      <c r="A173" s="2">
        <v>45106</v>
      </c>
      <c r="B173" t="s">
        <v>1018</v>
      </c>
      <c r="C173" s="4">
        <v>25500</v>
      </c>
      <c r="D173" t="s">
        <v>26</v>
      </c>
      <c r="F173" t="s">
        <v>25</v>
      </c>
      <c r="I173" s="4">
        <f t="shared" si="4"/>
        <v>0</v>
      </c>
    </row>
    <row r="174" spans="1:12" x14ac:dyDescent="0.25">
      <c r="A174" s="2">
        <v>45106</v>
      </c>
      <c r="B174" t="s">
        <v>1019</v>
      </c>
      <c r="C174" s="4">
        <v>80000</v>
      </c>
      <c r="D174" t="s">
        <v>26</v>
      </c>
      <c r="F174" t="s">
        <v>25</v>
      </c>
      <c r="I174" s="4">
        <f t="shared" si="4"/>
        <v>0</v>
      </c>
    </row>
    <row r="175" spans="1:12" x14ac:dyDescent="0.25">
      <c r="A175" s="2">
        <v>45110</v>
      </c>
      <c r="B175" t="s">
        <v>1023</v>
      </c>
      <c r="C175" s="4">
        <v>30000</v>
      </c>
      <c r="D175" t="s">
        <v>26</v>
      </c>
      <c r="F175" t="s">
        <v>25</v>
      </c>
      <c r="I175" s="4">
        <f t="shared" si="4"/>
        <v>0</v>
      </c>
    </row>
    <row r="176" spans="1:12" x14ac:dyDescent="0.25">
      <c r="A176" s="2">
        <v>45099</v>
      </c>
      <c r="B176" t="s">
        <v>1025</v>
      </c>
      <c r="C176" s="4">
        <v>6000</v>
      </c>
      <c r="D176" t="s">
        <v>26</v>
      </c>
      <c r="F176" t="s">
        <v>270</v>
      </c>
      <c r="I176" s="4">
        <f>IF(E177="PENDIENTE",C176,0)</f>
        <v>0</v>
      </c>
    </row>
    <row r="177" spans="1:12" x14ac:dyDescent="0.25">
      <c r="A177" s="2">
        <v>45112</v>
      </c>
      <c r="B177" t="s">
        <v>1026</v>
      </c>
      <c r="C177" s="4">
        <v>91000</v>
      </c>
      <c r="D177" t="s">
        <v>26</v>
      </c>
      <c r="E177" t="s">
        <v>26</v>
      </c>
      <c r="F177" t="s">
        <v>25</v>
      </c>
      <c r="I177" s="4">
        <f t="shared" si="4"/>
        <v>0</v>
      </c>
    </row>
    <row r="178" spans="1:12" x14ac:dyDescent="0.25">
      <c r="A178" s="2">
        <v>45117</v>
      </c>
      <c r="B178" t="s">
        <v>1030</v>
      </c>
      <c r="C178" s="4">
        <v>90000</v>
      </c>
      <c r="D178" t="s">
        <v>26</v>
      </c>
      <c r="F178" t="s">
        <v>25</v>
      </c>
      <c r="I178" s="4">
        <f>IF(E179="PENDIENTE",C178,0)</f>
        <v>0</v>
      </c>
      <c r="K178" t="s">
        <v>1050</v>
      </c>
      <c r="L178" s="2">
        <v>45133</v>
      </c>
    </row>
    <row r="179" spans="1:12" x14ac:dyDescent="0.25">
      <c r="A179" s="2">
        <v>45119</v>
      </c>
      <c r="B179" t="s">
        <v>1036</v>
      </c>
      <c r="C179" s="4">
        <v>48000</v>
      </c>
      <c r="D179" t="s">
        <v>26</v>
      </c>
      <c r="E179" t="s">
        <v>26</v>
      </c>
      <c r="F179" t="s">
        <v>25</v>
      </c>
      <c r="I179" s="4">
        <f t="shared" si="4"/>
        <v>0</v>
      </c>
    </row>
    <row r="180" spans="1:12" x14ac:dyDescent="0.25">
      <c r="A180" s="2">
        <v>45124</v>
      </c>
      <c r="B180" t="s">
        <v>1039</v>
      </c>
      <c r="C180" s="4">
        <v>19000</v>
      </c>
      <c r="D180" t="s">
        <v>26</v>
      </c>
      <c r="F180" t="s">
        <v>270</v>
      </c>
      <c r="I180" s="4">
        <f t="shared" si="4"/>
        <v>0</v>
      </c>
    </row>
    <row r="181" spans="1:12" x14ac:dyDescent="0.25">
      <c r="A181" s="2">
        <v>45124</v>
      </c>
      <c r="B181" t="s">
        <v>1040</v>
      </c>
      <c r="C181" s="4">
        <v>17500</v>
      </c>
      <c r="D181" t="s">
        <v>26</v>
      </c>
      <c r="F181" t="s">
        <v>25</v>
      </c>
      <c r="I181" s="4">
        <f t="shared" si="4"/>
        <v>0</v>
      </c>
    </row>
    <row r="182" spans="1:12" x14ac:dyDescent="0.25">
      <c r="A182" s="2">
        <v>45124</v>
      </c>
      <c r="B182" t="s">
        <v>1041</v>
      </c>
      <c r="C182" s="4">
        <v>13000</v>
      </c>
      <c r="D182" t="s">
        <v>26</v>
      </c>
      <c r="F182" t="s">
        <v>270</v>
      </c>
      <c r="I182" s="4">
        <f t="shared" si="4"/>
        <v>0</v>
      </c>
    </row>
    <row r="183" spans="1:12" x14ac:dyDescent="0.25">
      <c r="A183" s="2">
        <v>45127</v>
      </c>
      <c r="B183" t="s">
        <v>1043</v>
      </c>
      <c r="C183" s="4">
        <v>40000</v>
      </c>
      <c r="D183" t="s">
        <v>26</v>
      </c>
      <c r="F183" t="s">
        <v>270</v>
      </c>
      <c r="I183" s="4">
        <f t="shared" si="4"/>
        <v>0</v>
      </c>
    </row>
    <row r="184" spans="1:12" x14ac:dyDescent="0.25">
      <c r="A184" s="2">
        <v>45128</v>
      </c>
      <c r="B184" t="s">
        <v>1045</v>
      </c>
      <c r="C184" s="4">
        <v>22000</v>
      </c>
      <c r="D184" t="s">
        <v>26</v>
      </c>
      <c r="F184" t="s">
        <v>25</v>
      </c>
      <c r="I184" s="4">
        <f t="shared" si="4"/>
        <v>0</v>
      </c>
    </row>
    <row r="185" spans="1:12" x14ac:dyDescent="0.25">
      <c r="A185" s="2">
        <v>45128</v>
      </c>
      <c r="B185" t="s">
        <v>1046</v>
      </c>
      <c r="C185" s="4">
        <v>5000</v>
      </c>
      <c r="D185" t="s">
        <v>26</v>
      </c>
      <c r="F185" t="s">
        <v>25</v>
      </c>
      <c r="I185" s="4">
        <f t="shared" si="4"/>
        <v>0</v>
      </c>
    </row>
    <row r="186" spans="1:12" x14ac:dyDescent="0.25">
      <c r="A186" s="2">
        <v>45132</v>
      </c>
      <c r="B186" t="s">
        <v>1048</v>
      </c>
      <c r="C186" s="4">
        <v>59000</v>
      </c>
      <c r="D186" t="s">
        <v>26</v>
      </c>
      <c r="F186" t="s">
        <v>25</v>
      </c>
      <c r="I186" s="4">
        <f t="shared" si="4"/>
        <v>0</v>
      </c>
    </row>
    <row r="187" spans="1:12" x14ac:dyDescent="0.25">
      <c r="A187" s="2">
        <v>45133</v>
      </c>
      <c r="B187" t="s">
        <v>1049</v>
      </c>
      <c r="C187" s="4">
        <v>30000</v>
      </c>
      <c r="D187" t="s">
        <v>26</v>
      </c>
      <c r="F187" t="s">
        <v>270</v>
      </c>
      <c r="I187" s="4">
        <f t="shared" si="4"/>
        <v>0</v>
      </c>
    </row>
    <row r="188" spans="1:12" x14ac:dyDescent="0.25">
      <c r="A188" s="2">
        <v>45110</v>
      </c>
      <c r="B188" t="s">
        <v>1060</v>
      </c>
      <c r="C188" s="4">
        <v>10000</v>
      </c>
      <c r="D188" t="s">
        <v>26</v>
      </c>
      <c r="F188" t="s">
        <v>25</v>
      </c>
      <c r="I188" s="4">
        <f t="shared" si="4"/>
        <v>0</v>
      </c>
      <c r="K188" t="s">
        <v>1061</v>
      </c>
      <c r="L188" s="2">
        <v>45141</v>
      </c>
    </row>
    <row r="189" spans="1:12" x14ac:dyDescent="0.25">
      <c r="A189" s="2">
        <v>45139</v>
      </c>
      <c r="B189" t="s">
        <v>1076</v>
      </c>
      <c r="C189" s="4">
        <v>36000</v>
      </c>
      <c r="D189" t="s">
        <v>26</v>
      </c>
      <c r="F189" t="s">
        <v>25</v>
      </c>
      <c r="I189" s="4">
        <f t="shared" si="4"/>
        <v>0</v>
      </c>
    </row>
    <row r="190" spans="1:12" x14ac:dyDescent="0.25">
      <c r="A190" s="2">
        <v>45173</v>
      </c>
      <c r="B190" t="s">
        <v>1080</v>
      </c>
      <c r="C190" s="4">
        <v>3000</v>
      </c>
      <c r="D190" t="s">
        <v>26</v>
      </c>
      <c r="I190" s="4">
        <f t="shared" ref="I190:I253" si="5">IF(D190="PENDIENTE",C190,0)</f>
        <v>0</v>
      </c>
      <c r="K190" t="s">
        <v>902</v>
      </c>
      <c r="L190" s="2">
        <v>45223</v>
      </c>
    </row>
    <row r="191" spans="1:12" x14ac:dyDescent="0.25">
      <c r="A191" s="2">
        <v>45190</v>
      </c>
      <c r="B191" t="s">
        <v>1100</v>
      </c>
      <c r="C191" s="4">
        <v>24000</v>
      </c>
      <c r="D191" t="s">
        <v>26</v>
      </c>
      <c r="I191" s="4">
        <f t="shared" si="5"/>
        <v>0</v>
      </c>
    </row>
    <row r="192" spans="1:12" x14ac:dyDescent="0.25">
      <c r="A192" s="2">
        <v>45196</v>
      </c>
      <c r="B192" t="s">
        <v>1104</v>
      </c>
      <c r="C192" s="4">
        <v>29000</v>
      </c>
      <c r="D192" t="s">
        <v>26</v>
      </c>
      <c r="I192" s="4">
        <f t="shared" si="5"/>
        <v>0</v>
      </c>
    </row>
    <row r="193" spans="1:12" x14ac:dyDescent="0.25">
      <c r="A193" s="2">
        <v>45196</v>
      </c>
      <c r="B193" t="s">
        <v>1105</v>
      </c>
      <c r="C193" s="4">
        <v>38000</v>
      </c>
      <c r="D193" t="s">
        <v>26</v>
      </c>
      <c r="I193" s="4">
        <f t="shared" si="5"/>
        <v>0</v>
      </c>
    </row>
    <row r="194" spans="1:12" x14ac:dyDescent="0.25">
      <c r="A194" s="2">
        <v>45196</v>
      </c>
      <c r="B194" t="s">
        <v>1106</v>
      </c>
      <c r="C194" s="4">
        <v>12000</v>
      </c>
      <c r="D194" t="s">
        <v>26</v>
      </c>
      <c r="I194" s="4">
        <f t="shared" si="5"/>
        <v>0</v>
      </c>
    </row>
    <row r="195" spans="1:12" x14ac:dyDescent="0.25">
      <c r="A195" s="2">
        <v>45203</v>
      </c>
      <c r="B195" t="s">
        <v>1114</v>
      </c>
      <c r="C195" s="4">
        <v>9000</v>
      </c>
      <c r="D195" t="s">
        <v>26</v>
      </c>
      <c r="I195" s="4">
        <f t="shared" si="5"/>
        <v>0</v>
      </c>
    </row>
    <row r="196" spans="1:12" x14ac:dyDescent="0.25">
      <c r="A196" s="2">
        <v>45216</v>
      </c>
      <c r="B196" t="s">
        <v>1129</v>
      </c>
      <c r="C196" s="4">
        <v>14000</v>
      </c>
      <c r="D196" t="s">
        <v>26</v>
      </c>
      <c r="I196" s="4">
        <f t="shared" si="5"/>
        <v>0</v>
      </c>
      <c r="K196" t="s">
        <v>1173</v>
      </c>
      <c r="L196" s="2">
        <v>45254</v>
      </c>
    </row>
    <row r="197" spans="1:12" x14ac:dyDescent="0.25">
      <c r="A197" s="2">
        <v>45223</v>
      </c>
      <c r="B197" t="s">
        <v>1137</v>
      </c>
      <c r="C197" s="4">
        <v>35000</v>
      </c>
      <c r="D197" t="s">
        <v>26</v>
      </c>
      <c r="I197" s="4">
        <f t="shared" si="5"/>
        <v>0</v>
      </c>
      <c r="K197" t="s">
        <v>1173</v>
      </c>
      <c r="L197" s="2">
        <v>45260</v>
      </c>
    </row>
    <row r="198" spans="1:12" x14ac:dyDescent="0.25">
      <c r="A198" s="2">
        <v>45229</v>
      </c>
      <c r="B198" t="s">
        <v>1146</v>
      </c>
      <c r="C198" s="4">
        <v>30000</v>
      </c>
      <c r="D198" t="s">
        <v>26</v>
      </c>
      <c r="I198" s="4">
        <f t="shared" si="5"/>
        <v>0</v>
      </c>
      <c r="K198" t="s">
        <v>1224</v>
      </c>
      <c r="L198" s="2">
        <v>45295</v>
      </c>
    </row>
    <row r="199" spans="1:12" x14ac:dyDescent="0.25">
      <c r="B199" t="s">
        <v>1172</v>
      </c>
      <c r="C199" s="4">
        <v>5000</v>
      </c>
      <c r="D199" t="s">
        <v>26</v>
      </c>
      <c r="I199" s="4">
        <f t="shared" si="5"/>
        <v>0</v>
      </c>
      <c r="K199" t="s">
        <v>954</v>
      </c>
      <c r="L199" s="2">
        <v>45314</v>
      </c>
    </row>
    <row r="200" spans="1:12" x14ac:dyDescent="0.25">
      <c r="A200" s="2">
        <v>45259</v>
      </c>
      <c r="B200" t="s">
        <v>1181</v>
      </c>
      <c r="C200" s="4">
        <v>69000</v>
      </c>
      <c r="D200" t="s">
        <v>26</v>
      </c>
      <c r="I200" s="4">
        <f t="shared" si="5"/>
        <v>0</v>
      </c>
      <c r="K200" t="s">
        <v>1237</v>
      </c>
    </row>
    <row r="201" spans="1:12" x14ac:dyDescent="0.25">
      <c r="A201" s="2">
        <v>45267</v>
      </c>
      <c r="B201" t="s">
        <v>219</v>
      </c>
      <c r="C201" s="4">
        <v>30000</v>
      </c>
      <c r="D201" t="s">
        <v>26</v>
      </c>
      <c r="I201" s="4">
        <f t="shared" si="5"/>
        <v>0</v>
      </c>
      <c r="K201" t="s">
        <v>1256</v>
      </c>
      <c r="L201" s="2">
        <v>45342</v>
      </c>
    </row>
    <row r="202" spans="1:12" x14ac:dyDescent="0.25">
      <c r="A202" s="2">
        <v>45272</v>
      </c>
      <c r="B202" t="s">
        <v>1194</v>
      </c>
      <c r="C202" s="4">
        <v>53500</v>
      </c>
      <c r="D202" t="s">
        <v>26</v>
      </c>
      <c r="I202" s="4">
        <f t="shared" si="5"/>
        <v>0</v>
      </c>
      <c r="K202" t="s">
        <v>954</v>
      </c>
      <c r="L202" s="2">
        <v>45406</v>
      </c>
    </row>
    <row r="203" spans="1:12" x14ac:dyDescent="0.25">
      <c r="A203" s="2">
        <v>45280</v>
      </c>
      <c r="B203" t="s">
        <v>1202</v>
      </c>
      <c r="C203" s="4">
        <v>24000</v>
      </c>
      <c r="D203" t="s">
        <v>26</v>
      </c>
      <c r="I203" s="4">
        <f t="shared" si="5"/>
        <v>0</v>
      </c>
      <c r="K203" t="s">
        <v>954</v>
      </c>
      <c r="L203" s="2">
        <v>45408</v>
      </c>
    </row>
    <row r="204" spans="1:12" x14ac:dyDescent="0.25">
      <c r="A204" s="2">
        <v>45280</v>
      </c>
      <c r="B204" t="s">
        <v>1203</v>
      </c>
      <c r="C204" s="4">
        <v>2500</v>
      </c>
      <c r="D204" t="s">
        <v>26</v>
      </c>
      <c r="I204" s="4">
        <f t="shared" si="5"/>
        <v>0</v>
      </c>
    </row>
    <row r="205" spans="1:12" x14ac:dyDescent="0.25">
      <c r="A205" s="2">
        <v>45286</v>
      </c>
      <c r="B205" t="s">
        <v>1208</v>
      </c>
      <c r="C205" s="4">
        <v>20000</v>
      </c>
      <c r="D205" t="s">
        <v>26</v>
      </c>
      <c r="I205" s="4">
        <f t="shared" si="5"/>
        <v>0</v>
      </c>
    </row>
    <row r="206" spans="1:12" x14ac:dyDescent="0.25">
      <c r="A206" s="2">
        <v>45296</v>
      </c>
      <c r="B206" t="s">
        <v>1211</v>
      </c>
      <c r="C206" s="4">
        <v>70000</v>
      </c>
      <c r="D206" t="s">
        <v>26</v>
      </c>
      <c r="I206" s="4">
        <f t="shared" si="5"/>
        <v>0</v>
      </c>
    </row>
    <row r="207" spans="1:12" x14ac:dyDescent="0.25">
      <c r="A207" s="2">
        <v>45296</v>
      </c>
      <c r="B207" t="s">
        <v>1212</v>
      </c>
      <c r="C207" s="4">
        <v>23500</v>
      </c>
      <c r="D207" t="s">
        <v>26</v>
      </c>
      <c r="I207" s="4">
        <f t="shared" si="5"/>
        <v>0</v>
      </c>
    </row>
    <row r="208" spans="1:12" x14ac:dyDescent="0.25">
      <c r="A208" s="2">
        <v>45302</v>
      </c>
      <c r="B208" t="s">
        <v>1217</v>
      </c>
      <c r="C208" s="4">
        <v>7000</v>
      </c>
      <c r="D208" t="s">
        <v>26</v>
      </c>
      <c r="I208" s="4">
        <f t="shared" si="5"/>
        <v>0</v>
      </c>
    </row>
    <row r="209" spans="1:13" x14ac:dyDescent="0.25">
      <c r="A209" s="2">
        <v>45314</v>
      </c>
      <c r="B209" t="s">
        <v>1223</v>
      </c>
      <c r="C209" s="4">
        <v>17500</v>
      </c>
      <c r="D209" t="s">
        <v>26</v>
      </c>
      <c r="I209" s="4">
        <f t="shared" si="5"/>
        <v>0</v>
      </c>
    </row>
    <row r="210" spans="1:13" x14ac:dyDescent="0.25">
      <c r="A210" s="2">
        <v>45327</v>
      </c>
      <c r="B210" t="s">
        <v>1236</v>
      </c>
      <c r="C210" s="4">
        <v>27000</v>
      </c>
      <c r="D210" t="s">
        <v>26</v>
      </c>
      <c r="I210" s="4">
        <f t="shared" si="5"/>
        <v>0</v>
      </c>
    </row>
    <row r="211" spans="1:13" x14ac:dyDescent="0.25">
      <c r="A211" s="2">
        <v>45335</v>
      </c>
      <c r="B211" t="s">
        <v>1252</v>
      </c>
      <c r="C211" s="4">
        <v>8000</v>
      </c>
      <c r="D211" t="s">
        <v>26</v>
      </c>
      <c r="I211" s="4">
        <f t="shared" si="5"/>
        <v>0</v>
      </c>
    </row>
    <row r="212" spans="1:13" x14ac:dyDescent="0.25">
      <c r="A212" s="2">
        <v>45369</v>
      </c>
      <c r="B212" t="s">
        <v>1287</v>
      </c>
      <c r="C212" s="4">
        <v>37000</v>
      </c>
      <c r="D212" t="s">
        <v>26</v>
      </c>
      <c r="I212" s="4">
        <f t="shared" si="5"/>
        <v>0</v>
      </c>
    </row>
    <row r="213" spans="1:13" x14ac:dyDescent="0.25">
      <c r="B213" t="s">
        <v>1316</v>
      </c>
      <c r="C213" s="4">
        <v>29000</v>
      </c>
      <c r="D213" t="s">
        <v>26</v>
      </c>
      <c r="I213" s="4">
        <f t="shared" si="5"/>
        <v>0</v>
      </c>
      <c r="K213" t="s">
        <v>984</v>
      </c>
      <c r="L213" s="2">
        <v>45433</v>
      </c>
    </row>
    <row r="214" spans="1:13" x14ac:dyDescent="0.25">
      <c r="B214" t="s">
        <v>1317</v>
      </c>
      <c r="C214" s="4">
        <v>90000</v>
      </c>
      <c r="D214" t="s">
        <v>26</v>
      </c>
      <c r="I214" s="4">
        <f t="shared" si="5"/>
        <v>0</v>
      </c>
    </row>
    <row r="215" spans="1:13" x14ac:dyDescent="0.25">
      <c r="A215" s="2">
        <v>45408</v>
      </c>
      <c r="B215" t="s">
        <v>1322</v>
      </c>
      <c r="C215" s="4">
        <v>85000</v>
      </c>
      <c r="D215" t="s">
        <v>26</v>
      </c>
      <c r="I215" s="4">
        <f t="shared" si="5"/>
        <v>0</v>
      </c>
    </row>
    <row r="216" spans="1:13" x14ac:dyDescent="0.25">
      <c r="A216" s="2">
        <v>45440</v>
      </c>
      <c r="B216" t="s">
        <v>1344</v>
      </c>
      <c r="C216" s="4">
        <v>15000</v>
      </c>
      <c r="D216" t="s">
        <v>26</v>
      </c>
      <c r="I216" s="4">
        <f t="shared" si="5"/>
        <v>0</v>
      </c>
    </row>
    <row r="217" spans="1:13" x14ac:dyDescent="0.25">
      <c r="A217" s="2">
        <v>45436</v>
      </c>
      <c r="B217" t="s">
        <v>1345</v>
      </c>
      <c r="C217" s="4">
        <v>40000</v>
      </c>
      <c r="D217" t="s">
        <v>26</v>
      </c>
      <c r="I217" s="4">
        <f t="shared" si="5"/>
        <v>0</v>
      </c>
    </row>
    <row r="218" spans="1:13" x14ac:dyDescent="0.25">
      <c r="A218" s="2">
        <v>45436</v>
      </c>
      <c r="B218" t="s">
        <v>1349</v>
      </c>
      <c r="C218" s="4">
        <v>12000</v>
      </c>
      <c r="D218" t="s">
        <v>26</v>
      </c>
      <c r="I218" s="4">
        <f t="shared" si="5"/>
        <v>0</v>
      </c>
    </row>
    <row r="219" spans="1:13" x14ac:dyDescent="0.25">
      <c r="A219" s="2">
        <v>45441</v>
      </c>
      <c r="B219" t="s">
        <v>1347</v>
      </c>
      <c r="C219" s="4">
        <v>14000</v>
      </c>
      <c r="D219" t="s">
        <v>26</v>
      </c>
      <c r="I219" s="4">
        <f t="shared" si="5"/>
        <v>0</v>
      </c>
    </row>
    <row r="220" spans="1:13" x14ac:dyDescent="0.25">
      <c r="A220" s="2">
        <v>45437</v>
      </c>
      <c r="B220" t="s">
        <v>1350</v>
      </c>
      <c r="C220" s="4">
        <v>35000</v>
      </c>
      <c r="D220" t="s">
        <v>1375</v>
      </c>
      <c r="I220" s="4">
        <f t="shared" si="5"/>
        <v>0</v>
      </c>
    </row>
    <row r="221" spans="1:13" x14ac:dyDescent="0.25">
      <c r="A221" s="2">
        <v>45453</v>
      </c>
      <c r="B221" t="s">
        <v>1359</v>
      </c>
      <c r="C221" s="4">
        <v>36000</v>
      </c>
      <c r="D221" t="s">
        <v>26</v>
      </c>
      <c r="I221" s="4">
        <f t="shared" si="5"/>
        <v>0</v>
      </c>
      <c r="K221" t="s">
        <v>1256</v>
      </c>
      <c r="M221" s="2">
        <v>45476</v>
      </c>
    </row>
    <row r="222" spans="1:13" x14ac:dyDescent="0.25">
      <c r="A222" s="2">
        <v>45453</v>
      </c>
      <c r="B222" t="s">
        <v>1360</v>
      </c>
      <c r="C222" s="4">
        <v>48000</v>
      </c>
      <c r="D222" t="s">
        <v>26</v>
      </c>
      <c r="I222" s="4">
        <f t="shared" si="5"/>
        <v>0</v>
      </c>
      <c r="K222" t="s">
        <v>1256</v>
      </c>
      <c r="M222" s="2">
        <v>45488</v>
      </c>
    </row>
    <row r="223" spans="1:13" x14ac:dyDescent="0.25">
      <c r="A223" s="2">
        <v>45454</v>
      </c>
      <c r="B223" t="s">
        <v>1361</v>
      </c>
      <c r="C223" s="4">
        <v>29000</v>
      </c>
      <c r="D223" t="s">
        <v>26</v>
      </c>
      <c r="I223" s="4">
        <f t="shared" si="5"/>
        <v>0</v>
      </c>
    </row>
    <row r="224" spans="1:13" x14ac:dyDescent="0.25">
      <c r="A224" s="2">
        <v>45464</v>
      </c>
      <c r="B224" t="s">
        <v>1376</v>
      </c>
      <c r="C224" s="4">
        <v>50000</v>
      </c>
      <c r="D224" t="s">
        <v>26</v>
      </c>
      <c r="I224" s="4">
        <f t="shared" si="5"/>
        <v>0</v>
      </c>
      <c r="K224" t="s">
        <v>1519</v>
      </c>
      <c r="L224" s="7" t="s">
        <v>1537</v>
      </c>
      <c r="M224" s="2">
        <v>45645</v>
      </c>
    </row>
    <row r="225" spans="1:9" x14ac:dyDescent="0.25">
      <c r="A225" s="2">
        <v>45520</v>
      </c>
      <c r="B225" t="s">
        <v>1414</v>
      </c>
      <c r="C225" s="4">
        <v>19000</v>
      </c>
      <c r="D225" t="s">
        <v>26</v>
      </c>
      <c r="I225" s="4">
        <f t="shared" si="5"/>
        <v>0</v>
      </c>
    </row>
    <row r="226" spans="1:9" x14ac:dyDescent="0.25">
      <c r="A226" s="2">
        <v>45523</v>
      </c>
      <c r="B226" t="s">
        <v>1413</v>
      </c>
      <c r="C226" s="4">
        <v>22000</v>
      </c>
      <c r="D226" t="s">
        <v>26</v>
      </c>
      <c r="I226" s="4">
        <f t="shared" si="5"/>
        <v>0</v>
      </c>
    </row>
    <row r="227" spans="1:9" x14ac:dyDescent="0.25">
      <c r="A227" s="2">
        <v>45540</v>
      </c>
      <c r="B227" t="s">
        <v>1431</v>
      </c>
      <c r="C227" s="4">
        <v>15000</v>
      </c>
      <c r="D227" t="s">
        <v>26</v>
      </c>
      <c r="I227" s="4">
        <f t="shared" si="5"/>
        <v>0</v>
      </c>
    </row>
    <row r="228" spans="1:9" x14ac:dyDescent="0.25">
      <c r="A228" s="2">
        <v>45568</v>
      </c>
      <c r="B228" t="s">
        <v>1448</v>
      </c>
      <c r="C228" s="4">
        <v>24000</v>
      </c>
      <c r="D228" t="s">
        <v>26</v>
      </c>
      <c r="I228" s="4">
        <f t="shared" si="5"/>
        <v>0</v>
      </c>
    </row>
    <row r="229" spans="1:9" x14ac:dyDescent="0.25">
      <c r="A229" s="2">
        <v>45574</v>
      </c>
      <c r="B229" t="s">
        <v>1452</v>
      </c>
      <c r="C229" s="4">
        <v>9000</v>
      </c>
      <c r="D229" t="s">
        <v>26</v>
      </c>
      <c r="I229" s="4">
        <f t="shared" si="5"/>
        <v>0</v>
      </c>
    </row>
    <row r="230" spans="1:9" x14ac:dyDescent="0.25">
      <c r="A230" s="2">
        <v>45586</v>
      </c>
      <c r="B230" t="s">
        <v>1456</v>
      </c>
      <c r="C230" s="4">
        <v>27000</v>
      </c>
      <c r="D230" t="s">
        <v>26</v>
      </c>
      <c r="I230" s="4">
        <f t="shared" si="5"/>
        <v>0</v>
      </c>
    </row>
    <row r="231" spans="1:9" x14ac:dyDescent="0.25">
      <c r="A231" s="2">
        <v>45601</v>
      </c>
      <c r="B231" t="s">
        <v>1463</v>
      </c>
      <c r="C231" s="4">
        <v>20000</v>
      </c>
      <c r="D231" t="s">
        <v>26</v>
      </c>
      <c r="I231" s="4">
        <f t="shared" si="5"/>
        <v>0</v>
      </c>
    </row>
    <row r="232" spans="1:9" x14ac:dyDescent="0.25">
      <c r="A232" s="2">
        <v>45602</v>
      </c>
      <c r="B232" t="s">
        <v>1469</v>
      </c>
      <c r="C232" s="4">
        <v>18000</v>
      </c>
      <c r="D232" t="s">
        <v>26</v>
      </c>
      <c r="I232" s="4">
        <f t="shared" si="5"/>
        <v>0</v>
      </c>
    </row>
    <row r="233" spans="1:9" x14ac:dyDescent="0.25">
      <c r="A233" s="2">
        <v>45607</v>
      </c>
      <c r="B233" t="s">
        <v>1472</v>
      </c>
      <c r="C233" s="4">
        <v>25500</v>
      </c>
      <c r="D233" t="s">
        <v>26</v>
      </c>
      <c r="I233" s="4">
        <f t="shared" si="5"/>
        <v>0</v>
      </c>
    </row>
    <row r="234" spans="1:9" x14ac:dyDescent="0.25">
      <c r="A234" s="2">
        <v>45631</v>
      </c>
      <c r="B234" t="s">
        <v>1498</v>
      </c>
      <c r="C234" s="4">
        <v>6000</v>
      </c>
      <c r="D234" t="s">
        <v>26</v>
      </c>
      <c r="I234" s="4">
        <f t="shared" si="5"/>
        <v>0</v>
      </c>
    </row>
    <row r="235" spans="1:9" x14ac:dyDescent="0.25">
      <c r="A235" s="2">
        <v>45631</v>
      </c>
      <c r="B235" t="s">
        <v>1498</v>
      </c>
      <c r="C235" s="4">
        <v>6000</v>
      </c>
      <c r="D235" t="s">
        <v>26</v>
      </c>
      <c r="I235" s="4">
        <f t="shared" si="5"/>
        <v>0</v>
      </c>
    </row>
    <row r="236" spans="1:9" x14ac:dyDescent="0.25">
      <c r="A236" s="2">
        <v>45666</v>
      </c>
      <c r="B236" t="s">
        <v>1536</v>
      </c>
      <c r="C236" s="4">
        <v>63500</v>
      </c>
      <c r="D236" t="s">
        <v>7</v>
      </c>
      <c r="I236" s="4">
        <f t="shared" si="5"/>
        <v>63500</v>
      </c>
    </row>
    <row r="237" spans="1:9" x14ac:dyDescent="0.25">
      <c r="A237" s="2">
        <v>45670</v>
      </c>
      <c r="B237" t="s">
        <v>1539</v>
      </c>
      <c r="C237" s="4">
        <v>24000</v>
      </c>
      <c r="D237" t="s">
        <v>7</v>
      </c>
      <c r="I237" s="4">
        <f t="shared" si="5"/>
        <v>24000</v>
      </c>
    </row>
    <row r="238" spans="1:9" x14ac:dyDescent="0.25">
      <c r="I238" s="4">
        <f t="shared" si="5"/>
        <v>0</v>
      </c>
    </row>
    <row r="239" spans="1:9" x14ac:dyDescent="0.25">
      <c r="I239" s="4">
        <f t="shared" si="5"/>
        <v>0</v>
      </c>
    </row>
    <row r="240" spans="1:9" x14ac:dyDescent="0.25">
      <c r="I240" s="4">
        <f t="shared" si="5"/>
        <v>0</v>
      </c>
    </row>
    <row r="241" spans="9:9" x14ac:dyDescent="0.25">
      <c r="I241" s="4">
        <f t="shared" si="5"/>
        <v>0</v>
      </c>
    </row>
    <row r="242" spans="9:9" x14ac:dyDescent="0.25">
      <c r="I242" s="4">
        <f t="shared" si="5"/>
        <v>0</v>
      </c>
    </row>
    <row r="243" spans="9:9" x14ac:dyDescent="0.25">
      <c r="I243" s="4">
        <f t="shared" si="5"/>
        <v>0</v>
      </c>
    </row>
    <row r="244" spans="9:9" x14ac:dyDescent="0.25">
      <c r="I244" s="4">
        <f t="shared" si="5"/>
        <v>0</v>
      </c>
    </row>
    <row r="245" spans="9:9" x14ac:dyDescent="0.25">
      <c r="I245" s="4">
        <f t="shared" si="5"/>
        <v>0</v>
      </c>
    </row>
    <row r="246" spans="9:9" x14ac:dyDescent="0.25">
      <c r="I246" s="4">
        <f t="shared" si="5"/>
        <v>0</v>
      </c>
    </row>
    <row r="247" spans="9:9" x14ac:dyDescent="0.25">
      <c r="I247" s="4">
        <f t="shared" si="5"/>
        <v>0</v>
      </c>
    </row>
    <row r="248" spans="9:9" x14ac:dyDescent="0.25">
      <c r="I248" s="4">
        <f t="shared" si="5"/>
        <v>0</v>
      </c>
    </row>
    <row r="249" spans="9:9" x14ac:dyDescent="0.25">
      <c r="I249" s="4">
        <f t="shared" si="5"/>
        <v>0</v>
      </c>
    </row>
    <row r="250" spans="9:9" x14ac:dyDescent="0.25">
      <c r="I250" s="4">
        <f t="shared" si="5"/>
        <v>0</v>
      </c>
    </row>
    <row r="251" spans="9:9" x14ac:dyDescent="0.25">
      <c r="I251" s="4">
        <f t="shared" si="5"/>
        <v>0</v>
      </c>
    </row>
    <row r="252" spans="9:9" x14ac:dyDescent="0.25">
      <c r="I252" s="4">
        <f t="shared" si="5"/>
        <v>0</v>
      </c>
    </row>
    <row r="253" spans="9:9" x14ac:dyDescent="0.25">
      <c r="I253" s="4">
        <f t="shared" si="5"/>
        <v>0</v>
      </c>
    </row>
    <row r="254" spans="9:9" x14ac:dyDescent="0.25">
      <c r="I254" s="4">
        <f t="shared" ref="I254:I276" si="6">IF(D254="PENDIENTE",C254,0)</f>
        <v>0</v>
      </c>
    </row>
    <row r="255" spans="9:9" x14ac:dyDescent="0.25">
      <c r="I255" s="4">
        <f t="shared" si="6"/>
        <v>0</v>
      </c>
    </row>
    <row r="256" spans="9:9" x14ac:dyDescent="0.25">
      <c r="I256" s="4">
        <f t="shared" si="6"/>
        <v>0</v>
      </c>
    </row>
    <row r="257" spans="9:9" x14ac:dyDescent="0.25">
      <c r="I257" s="4">
        <f t="shared" si="6"/>
        <v>0</v>
      </c>
    </row>
    <row r="258" spans="9:9" x14ac:dyDescent="0.25">
      <c r="I258" s="4">
        <f t="shared" si="6"/>
        <v>0</v>
      </c>
    </row>
    <row r="259" spans="9:9" x14ac:dyDescent="0.25">
      <c r="I259" s="4">
        <f t="shared" si="6"/>
        <v>0</v>
      </c>
    </row>
    <row r="260" spans="9:9" x14ac:dyDescent="0.25">
      <c r="I260" s="4">
        <f t="shared" si="6"/>
        <v>0</v>
      </c>
    </row>
    <row r="261" spans="9:9" x14ac:dyDescent="0.25">
      <c r="I261" s="4">
        <f t="shared" si="6"/>
        <v>0</v>
      </c>
    </row>
    <row r="262" spans="9:9" x14ac:dyDescent="0.25">
      <c r="I262" s="4">
        <f t="shared" si="6"/>
        <v>0</v>
      </c>
    </row>
    <row r="263" spans="9:9" x14ac:dyDescent="0.25">
      <c r="I263" s="4">
        <f t="shared" si="6"/>
        <v>0</v>
      </c>
    </row>
    <row r="264" spans="9:9" x14ac:dyDescent="0.25">
      <c r="I264" s="4">
        <f t="shared" si="6"/>
        <v>0</v>
      </c>
    </row>
    <row r="265" spans="9:9" x14ac:dyDescent="0.25">
      <c r="I265" s="4">
        <f t="shared" si="6"/>
        <v>0</v>
      </c>
    </row>
    <row r="266" spans="9:9" x14ac:dyDescent="0.25">
      <c r="I266" s="4">
        <f t="shared" si="6"/>
        <v>0</v>
      </c>
    </row>
    <row r="267" spans="9:9" x14ac:dyDescent="0.25">
      <c r="I267" s="4">
        <f t="shared" si="6"/>
        <v>0</v>
      </c>
    </row>
    <row r="268" spans="9:9" x14ac:dyDescent="0.25">
      <c r="I268" s="4">
        <f t="shared" si="6"/>
        <v>0</v>
      </c>
    </row>
    <row r="269" spans="9:9" x14ac:dyDescent="0.25">
      <c r="I269" s="4">
        <f t="shared" si="6"/>
        <v>0</v>
      </c>
    </row>
    <row r="270" spans="9:9" x14ac:dyDescent="0.25">
      <c r="I270" s="4">
        <f t="shared" si="6"/>
        <v>0</v>
      </c>
    </row>
    <row r="271" spans="9:9" x14ac:dyDescent="0.25">
      <c r="I271" s="4">
        <f t="shared" si="6"/>
        <v>0</v>
      </c>
    </row>
    <row r="272" spans="9:9" x14ac:dyDescent="0.25">
      <c r="I272" s="4">
        <f t="shared" si="6"/>
        <v>0</v>
      </c>
    </row>
    <row r="273" spans="9:9" x14ac:dyDescent="0.25">
      <c r="I273" s="4">
        <f t="shared" si="6"/>
        <v>0</v>
      </c>
    </row>
    <row r="274" spans="9:9" x14ac:dyDescent="0.25">
      <c r="I274" s="4">
        <f t="shared" si="6"/>
        <v>0</v>
      </c>
    </row>
    <row r="275" spans="9:9" x14ac:dyDescent="0.25">
      <c r="I275" s="4">
        <f t="shared" si="6"/>
        <v>0</v>
      </c>
    </row>
    <row r="276" spans="9:9" x14ac:dyDescent="0.25">
      <c r="I276" s="4">
        <f t="shared" si="6"/>
        <v>0</v>
      </c>
    </row>
  </sheetData>
  <autoFilter ref="A1:F40">
    <sortState ref="A2:F149">
      <sortCondition ref="A1:A40"/>
    </sortState>
  </autoFilter>
  <conditionalFormatting sqref="E177 E179 D1:D1048576">
    <cfRule type="cellIs" dxfId="237" priority="14" operator="equal">
      <formula>"PAGADO"</formula>
    </cfRule>
    <cfRule type="cellIs" dxfId="236" priority="15" operator="equal">
      <formula>"PENDIENTE"</formula>
    </cfRule>
    <cfRule type="cellIs" dxfId="235" priority="16" operator="equal">
      <formula>"""PENDIENTE"""</formula>
    </cfRule>
  </conditionalFormatting>
  <conditionalFormatting sqref="E1:E176 E186:E1048576 E178 E180:E183">
    <cfRule type="cellIs" dxfId="234" priority="12" operator="equal">
      <formula>"FACTURADO"</formula>
    </cfRule>
    <cfRule type="cellIs" dxfId="233" priority="13" operator="equal">
      <formula>"NO FACTURADO"</formula>
    </cfRule>
  </conditionalFormatting>
  <conditionalFormatting sqref="F1:F183 F186:F1048576">
    <cfRule type="cellIs" dxfId="232" priority="9" operator="equal">
      <formula>"DELIS"</formula>
    </cfRule>
    <cfRule type="cellIs" dxfId="231" priority="10" operator="equal">
      <formula>"CESAR"</formula>
    </cfRule>
    <cfRule type="cellIs" dxfId="230" priority="11" operator="equal">
      <formula>"OMAR"</formula>
    </cfRule>
  </conditionalFormatting>
  <conditionalFormatting sqref="E184:E185">
    <cfRule type="cellIs" dxfId="229" priority="4" operator="equal">
      <formula>"FACTURADO"</formula>
    </cfRule>
    <cfRule type="cellIs" dxfId="228" priority="5" operator="equal">
      <formula>"NO FACTURADO"</formula>
    </cfRule>
  </conditionalFormatting>
  <conditionalFormatting sqref="F184:F185">
    <cfRule type="cellIs" dxfId="227" priority="1" operator="equal">
      <formula>"DELIS"</formula>
    </cfRule>
    <cfRule type="cellIs" dxfId="226" priority="2" operator="equal">
      <formula>"CESAR"</formula>
    </cfRule>
    <cfRule type="cellIs" dxfId="225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L45"/>
  <sheetViews>
    <sheetView workbookViewId="0"/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2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5" si="0">IF(D2="PENDIENTE",C2,0)</f>
        <v>0</v>
      </c>
      <c r="J2" s="4">
        <f>SUM(I:I)</f>
        <v>130000</v>
      </c>
      <c r="K2" s="11" t="s">
        <v>121</v>
      </c>
    </row>
    <row r="3" spans="1:12" x14ac:dyDescent="0.25">
      <c r="A3" s="2">
        <v>44247</v>
      </c>
      <c r="B3" t="s">
        <v>81</v>
      </c>
      <c r="C3" s="4">
        <v>110000</v>
      </c>
      <c r="D3" s="10"/>
      <c r="E3" t="s">
        <v>22</v>
      </c>
      <c r="I3" s="4">
        <f t="shared" si="0"/>
        <v>0</v>
      </c>
    </row>
    <row r="4" spans="1:12" x14ac:dyDescent="0.25">
      <c r="B4" t="s">
        <v>131</v>
      </c>
      <c r="C4" s="4">
        <v>5000</v>
      </c>
      <c r="E4" t="s">
        <v>22</v>
      </c>
      <c r="I4" s="4">
        <f t="shared" si="0"/>
        <v>0</v>
      </c>
    </row>
    <row r="5" spans="1:12" x14ac:dyDescent="0.25">
      <c r="B5" t="s">
        <v>132</v>
      </c>
      <c r="C5" s="4">
        <v>40000</v>
      </c>
      <c r="E5" t="s">
        <v>22</v>
      </c>
      <c r="I5" s="4">
        <f t="shared" si="0"/>
        <v>0</v>
      </c>
    </row>
    <row r="6" spans="1:12" x14ac:dyDescent="0.25">
      <c r="A6" s="2">
        <v>44250</v>
      </c>
      <c r="B6" t="s">
        <v>135</v>
      </c>
      <c r="C6" s="4">
        <v>90000</v>
      </c>
      <c r="D6" s="10" t="s">
        <v>7</v>
      </c>
      <c r="E6" t="s">
        <v>22</v>
      </c>
      <c r="F6" t="s">
        <v>10</v>
      </c>
      <c r="I6" s="4">
        <f t="shared" si="0"/>
        <v>90000</v>
      </c>
      <c r="K6" t="s">
        <v>979</v>
      </c>
      <c r="L6" s="2">
        <v>45070</v>
      </c>
    </row>
    <row r="7" spans="1:12" x14ac:dyDescent="0.25">
      <c r="A7" s="2">
        <v>45070</v>
      </c>
      <c r="B7" t="s">
        <v>980</v>
      </c>
      <c r="C7" s="4">
        <v>40000</v>
      </c>
      <c r="D7" s="10" t="s">
        <v>7</v>
      </c>
      <c r="I7" s="4">
        <f t="shared" si="0"/>
        <v>40000</v>
      </c>
    </row>
    <row r="8" spans="1:12" x14ac:dyDescent="0.25">
      <c r="I8" s="4">
        <f t="shared" si="0"/>
        <v>0</v>
      </c>
    </row>
    <row r="9" spans="1:12" x14ac:dyDescent="0.25">
      <c r="I9" s="4">
        <f t="shared" si="0"/>
        <v>0</v>
      </c>
    </row>
    <row r="10" spans="1:12" x14ac:dyDescent="0.25">
      <c r="I10" s="4">
        <f t="shared" si="0"/>
        <v>0</v>
      </c>
    </row>
    <row r="11" spans="1:12" x14ac:dyDescent="0.25">
      <c r="I11" s="4">
        <f t="shared" si="0"/>
        <v>0</v>
      </c>
    </row>
    <row r="12" spans="1:12" x14ac:dyDescent="0.25">
      <c r="I12" s="4">
        <f t="shared" si="0"/>
        <v>0</v>
      </c>
    </row>
    <row r="13" spans="1:12" x14ac:dyDescent="0.25">
      <c r="I13" s="4">
        <f t="shared" si="0"/>
        <v>0</v>
      </c>
    </row>
    <row r="14" spans="1:12" x14ac:dyDescent="0.25">
      <c r="I14" s="4">
        <f t="shared" si="0"/>
        <v>0</v>
      </c>
    </row>
    <row r="15" spans="1:12" x14ac:dyDescent="0.25">
      <c r="I15" s="4">
        <f t="shared" si="0"/>
        <v>0</v>
      </c>
    </row>
    <row r="16" spans="1:12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  <row r="41" spans="9:9" x14ac:dyDescent="0.25">
      <c r="I41" s="4">
        <f t="shared" si="0"/>
        <v>0</v>
      </c>
    </row>
    <row r="42" spans="9:9" x14ac:dyDescent="0.25">
      <c r="I42" s="4">
        <f t="shared" si="0"/>
        <v>0</v>
      </c>
    </row>
    <row r="43" spans="9:9" x14ac:dyDescent="0.25">
      <c r="I43" s="4">
        <f t="shared" si="0"/>
        <v>0</v>
      </c>
    </row>
    <row r="44" spans="9:9" x14ac:dyDescent="0.25">
      <c r="I44" s="4">
        <f t="shared" si="0"/>
        <v>0</v>
      </c>
    </row>
    <row r="45" spans="9:9" x14ac:dyDescent="0.25">
      <c r="I45" s="4">
        <f t="shared" si="0"/>
        <v>0</v>
      </c>
    </row>
  </sheetData>
  <autoFilter ref="A1:F40"/>
  <conditionalFormatting sqref="D1:D1048576">
    <cfRule type="cellIs" dxfId="224" priority="6" operator="equal">
      <formula>"PAGADO"</formula>
    </cfRule>
    <cfRule type="cellIs" dxfId="223" priority="7" operator="equal">
      <formula>"PENDIENTE"</formula>
    </cfRule>
    <cfRule type="cellIs" dxfId="222" priority="8" operator="equal">
      <formula>"""PENDIENTE"""</formula>
    </cfRule>
  </conditionalFormatting>
  <conditionalFormatting sqref="E1:E1048576">
    <cfRule type="cellIs" dxfId="221" priority="4" operator="equal">
      <formula>"FACTURADO"</formula>
    </cfRule>
    <cfRule type="cellIs" dxfId="220" priority="5" operator="equal">
      <formula>"NO FACTURADO"</formula>
    </cfRule>
  </conditionalFormatting>
  <conditionalFormatting sqref="F1:F1048576">
    <cfRule type="cellIs" dxfId="219" priority="1" operator="equal">
      <formula>"DELIS"</formula>
    </cfRule>
    <cfRule type="cellIs" dxfId="218" priority="2" operator="equal">
      <formula>"CESAR"</formula>
    </cfRule>
    <cfRule type="cellIs" dxfId="217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44130</v>
      </c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44210</v>
      </c>
      <c r="B3" t="s">
        <v>346</v>
      </c>
      <c r="C3" s="4">
        <v>6000</v>
      </c>
      <c r="D3" s="10" t="s">
        <v>157</v>
      </c>
      <c r="E3" t="s">
        <v>22</v>
      </c>
      <c r="F3" t="s">
        <v>25</v>
      </c>
      <c r="I3" s="4">
        <f t="shared" si="0"/>
        <v>0</v>
      </c>
    </row>
    <row r="4" spans="1:11" ht="17.25" x14ac:dyDescent="0.4">
      <c r="A4" s="2">
        <v>44293</v>
      </c>
      <c r="B4" t="s">
        <v>210</v>
      </c>
      <c r="C4" s="17">
        <v>20000</v>
      </c>
      <c r="D4" t="s">
        <v>157</v>
      </c>
      <c r="E4" t="s">
        <v>22</v>
      </c>
      <c r="F4" t="s">
        <v>25</v>
      </c>
      <c r="I4" s="4">
        <f t="shared" si="0"/>
        <v>0</v>
      </c>
    </row>
    <row r="5" spans="1:11" x14ac:dyDescent="0.25">
      <c r="A5" s="2">
        <v>44320</v>
      </c>
      <c r="B5" t="s">
        <v>239</v>
      </c>
      <c r="C5" s="4">
        <v>20000</v>
      </c>
      <c r="D5" s="12" t="s">
        <v>157</v>
      </c>
      <c r="E5" s="12" t="s">
        <v>22</v>
      </c>
      <c r="F5" s="12" t="s">
        <v>25</v>
      </c>
      <c r="I5" s="4">
        <f t="shared" si="0"/>
        <v>0</v>
      </c>
    </row>
    <row r="6" spans="1:11" x14ac:dyDescent="0.25">
      <c r="A6" s="2">
        <v>44421</v>
      </c>
      <c r="B6" t="s">
        <v>352</v>
      </c>
      <c r="C6" s="4">
        <v>37000</v>
      </c>
      <c r="D6" s="12" t="s">
        <v>157</v>
      </c>
      <c r="E6" s="12" t="s">
        <v>22</v>
      </c>
      <c r="F6" s="12" t="s">
        <v>25</v>
      </c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216" priority="6" operator="equal">
      <formula>"PAGADO"</formula>
    </cfRule>
    <cfRule type="cellIs" dxfId="215" priority="7" operator="equal">
      <formula>"PENDIENTE"</formula>
    </cfRule>
    <cfRule type="cellIs" dxfId="214" priority="8" operator="equal">
      <formula>"""PENDIENTE"""</formula>
    </cfRule>
  </conditionalFormatting>
  <conditionalFormatting sqref="E1:E1048576">
    <cfRule type="cellIs" dxfId="213" priority="4" operator="equal">
      <formula>"FACTURADO"</formula>
    </cfRule>
    <cfRule type="cellIs" dxfId="212" priority="5" operator="equal">
      <formula>"NO FACTURADO"</formula>
    </cfRule>
  </conditionalFormatting>
  <conditionalFormatting sqref="F1:F1048576">
    <cfRule type="cellIs" dxfId="211" priority="1" operator="equal">
      <formula>"DELIS"</formula>
    </cfRule>
    <cfRule type="cellIs" dxfId="210" priority="2" operator="equal">
      <formula>"CESAR"</formula>
    </cfRule>
    <cfRule type="cellIs" dxfId="209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44225</v>
      </c>
      <c r="B3" t="s">
        <v>81</v>
      </c>
      <c r="C3" s="4">
        <v>120000</v>
      </c>
      <c r="D3" s="10" t="s">
        <v>26</v>
      </c>
      <c r="E3" t="s">
        <v>11</v>
      </c>
      <c r="F3" t="s">
        <v>10</v>
      </c>
      <c r="H3" t="str">
        <f t="shared" ref="H3:H8" si="1">IF(E:E="NO FACTURADO","PENDIENTE","AL DIA")</f>
        <v>PENDIENTE</v>
      </c>
      <c r="I3" s="4">
        <f t="shared" si="0"/>
        <v>0</v>
      </c>
    </row>
    <row r="4" spans="1:11" x14ac:dyDescent="0.25">
      <c r="A4" s="2">
        <v>44225</v>
      </c>
      <c r="B4" t="s">
        <v>85</v>
      </c>
      <c r="C4" s="4">
        <v>20000</v>
      </c>
      <c r="D4" s="10" t="s">
        <v>26</v>
      </c>
      <c r="E4" t="s">
        <v>11</v>
      </c>
      <c r="F4" t="s">
        <v>10</v>
      </c>
      <c r="H4" t="str">
        <f t="shared" si="1"/>
        <v>PENDIENTE</v>
      </c>
      <c r="I4" s="4">
        <f t="shared" si="0"/>
        <v>0</v>
      </c>
    </row>
    <row r="5" spans="1:11" x14ac:dyDescent="0.25">
      <c r="H5" t="str">
        <f t="shared" si="1"/>
        <v>AL DIA</v>
      </c>
      <c r="I5" s="4">
        <f t="shared" si="0"/>
        <v>0</v>
      </c>
    </row>
    <row r="6" spans="1:11" x14ac:dyDescent="0.25">
      <c r="H6" t="str">
        <f t="shared" si="1"/>
        <v>AL DIA</v>
      </c>
      <c r="I6" s="4">
        <f t="shared" si="0"/>
        <v>0</v>
      </c>
    </row>
    <row r="7" spans="1:11" x14ac:dyDescent="0.25">
      <c r="H7" t="str">
        <f t="shared" si="1"/>
        <v>AL DIA</v>
      </c>
      <c r="I7" s="4">
        <f t="shared" si="0"/>
        <v>0</v>
      </c>
    </row>
    <row r="8" spans="1:11" x14ac:dyDescent="0.25">
      <c r="H8" t="str">
        <f t="shared" si="1"/>
        <v>AL DIA</v>
      </c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208" priority="6" operator="equal">
      <formula>"PAGADO"</formula>
    </cfRule>
    <cfRule type="cellIs" dxfId="207" priority="7" operator="equal">
      <formula>"PENDIENTE"</formula>
    </cfRule>
    <cfRule type="cellIs" dxfId="206" priority="8" operator="equal">
      <formula>"""PENDIENTE"""</formula>
    </cfRule>
  </conditionalFormatting>
  <conditionalFormatting sqref="E1:E1048576">
    <cfRule type="cellIs" dxfId="205" priority="4" operator="equal">
      <formula>"FACTURADO"</formula>
    </cfRule>
    <cfRule type="cellIs" dxfId="204" priority="5" operator="equal">
      <formula>"NO FACTURADO"</formula>
    </cfRule>
  </conditionalFormatting>
  <conditionalFormatting sqref="F1:F1048576">
    <cfRule type="cellIs" dxfId="203" priority="1" operator="equal">
      <formula>"DELIS"</formula>
    </cfRule>
    <cfRule type="cellIs" dxfId="202" priority="2" operator="equal">
      <formula>"CESAR"</formula>
    </cfRule>
    <cfRule type="cellIs" dxfId="201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44236</v>
      </c>
      <c r="B3" t="s">
        <v>104</v>
      </c>
      <c r="C3" s="4">
        <v>30000</v>
      </c>
      <c r="D3" s="10" t="s">
        <v>757</v>
      </c>
      <c r="E3" t="s">
        <v>22</v>
      </c>
      <c r="F3" t="s">
        <v>10</v>
      </c>
      <c r="I3" s="4">
        <f t="shared" si="0"/>
        <v>0</v>
      </c>
    </row>
    <row r="4" spans="1:11" x14ac:dyDescent="0.25">
      <c r="A4" s="2">
        <v>44362</v>
      </c>
      <c r="B4" t="s">
        <v>288</v>
      </c>
      <c r="C4" s="4">
        <v>30000</v>
      </c>
      <c r="D4" s="10" t="s">
        <v>757</v>
      </c>
      <c r="E4" t="s">
        <v>22</v>
      </c>
      <c r="I4" s="4">
        <f t="shared" si="0"/>
        <v>0</v>
      </c>
    </row>
    <row r="5" spans="1:11" x14ac:dyDescent="0.25">
      <c r="A5" s="2">
        <v>44810</v>
      </c>
      <c r="B5" t="s">
        <v>756</v>
      </c>
      <c r="C5" s="4">
        <v>70000</v>
      </c>
      <c r="D5" s="12" t="s">
        <v>157</v>
      </c>
      <c r="F5" s="12" t="s">
        <v>270</v>
      </c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200" priority="6" operator="equal">
      <formula>"PAGADO"</formula>
    </cfRule>
    <cfRule type="cellIs" dxfId="199" priority="7" operator="equal">
      <formula>"PENDIENTE"</formula>
    </cfRule>
    <cfRule type="cellIs" dxfId="198" priority="8" operator="equal">
      <formula>"""PENDIENTE"""</formula>
    </cfRule>
  </conditionalFormatting>
  <conditionalFormatting sqref="E1:E1048576">
    <cfRule type="cellIs" dxfId="197" priority="4" operator="equal">
      <formula>"FACTURADO"</formula>
    </cfRule>
    <cfRule type="cellIs" dxfId="196" priority="5" operator="equal">
      <formula>"NO FACTURADO"</formula>
    </cfRule>
  </conditionalFormatting>
  <conditionalFormatting sqref="F1:F1048576">
    <cfRule type="cellIs" dxfId="195" priority="1" operator="equal">
      <formula>"DELIS"</formula>
    </cfRule>
    <cfRule type="cellIs" dxfId="194" priority="2" operator="equal">
      <formula>"CESAR"</formula>
    </cfRule>
    <cfRule type="cellIs" dxfId="193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1" max="11" width="58.5703125" customWidth="1"/>
  </cols>
  <sheetData>
    <row r="1" spans="1:11" x14ac:dyDescent="0.25">
      <c r="A1" s="5" t="s">
        <v>728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44004</v>
      </c>
      <c r="B2" t="s">
        <v>153</v>
      </c>
      <c r="C2" s="4">
        <v>3500</v>
      </c>
      <c r="D2" s="10" t="s">
        <v>26</v>
      </c>
      <c r="E2" t="s">
        <v>53</v>
      </c>
      <c r="F2" t="s">
        <v>52</v>
      </c>
      <c r="H2" t="str">
        <f>IF(E:E="NO FACTURADO","PENDIENTE","AL DIA")</f>
        <v>AL DIA</v>
      </c>
      <c r="I2" s="4">
        <f>IF(D2="PENDIENTE",C2,0)</f>
        <v>0</v>
      </c>
      <c r="J2" s="4">
        <f>SUM(I:I)</f>
        <v>25000</v>
      </c>
      <c r="K2" s="11" t="s">
        <v>121</v>
      </c>
    </row>
    <row r="3" spans="1:11" x14ac:dyDescent="0.25">
      <c r="A3" s="2">
        <v>44257</v>
      </c>
      <c r="B3" t="s">
        <v>139</v>
      </c>
      <c r="C3" s="4">
        <v>3500</v>
      </c>
      <c r="D3" s="10" t="s">
        <v>26</v>
      </c>
      <c r="E3" t="s">
        <v>22</v>
      </c>
      <c r="F3" t="s">
        <v>52</v>
      </c>
      <c r="I3" s="4">
        <f t="shared" ref="I3:I40" si="0">IF(D3="PENDIENTE",C3,0)</f>
        <v>0</v>
      </c>
    </row>
    <row r="4" spans="1:11" x14ac:dyDescent="0.25">
      <c r="A4" s="2">
        <v>44258</v>
      </c>
      <c r="B4" t="s">
        <v>148</v>
      </c>
      <c r="C4" s="4">
        <v>17000</v>
      </c>
      <c r="D4" t="s">
        <v>26</v>
      </c>
      <c r="E4" t="s">
        <v>22</v>
      </c>
      <c r="F4" t="s">
        <v>52</v>
      </c>
      <c r="I4" s="4">
        <f>IF(D4="PENDIENTE",C4,0)</f>
        <v>0</v>
      </c>
    </row>
    <row r="5" spans="1:11" x14ac:dyDescent="0.25">
      <c r="A5" s="2">
        <v>44354</v>
      </c>
      <c r="B5" t="s">
        <v>273</v>
      </c>
      <c r="C5" s="4">
        <v>11000</v>
      </c>
      <c r="D5" s="12" t="s">
        <v>26</v>
      </c>
      <c r="F5" s="12" t="s">
        <v>10</v>
      </c>
      <c r="I5" s="4">
        <f t="shared" si="0"/>
        <v>0</v>
      </c>
    </row>
    <row r="6" spans="1:11" x14ac:dyDescent="0.25">
      <c r="A6" s="2">
        <v>44354</v>
      </c>
      <c r="B6" t="s">
        <v>276</v>
      </c>
      <c r="C6" s="4">
        <v>21000</v>
      </c>
      <c r="D6" s="12" t="s">
        <v>26</v>
      </c>
      <c r="E6" s="12" t="s">
        <v>216</v>
      </c>
      <c r="F6" s="12" t="s">
        <v>25</v>
      </c>
      <c r="I6" s="4">
        <f t="shared" si="0"/>
        <v>0</v>
      </c>
    </row>
    <row r="7" spans="1:11" x14ac:dyDescent="0.25">
      <c r="A7" s="2">
        <v>44431</v>
      </c>
      <c r="B7" t="s">
        <v>355</v>
      </c>
      <c r="C7" s="4">
        <v>163500</v>
      </c>
      <c r="D7" s="12" t="s">
        <v>26</v>
      </c>
      <c r="E7" s="12" t="s">
        <v>22</v>
      </c>
      <c r="F7" s="12" t="s">
        <v>25</v>
      </c>
      <c r="I7" s="4">
        <f t="shared" si="0"/>
        <v>0</v>
      </c>
    </row>
    <row r="8" spans="1:11" x14ac:dyDescent="0.25">
      <c r="A8" s="2">
        <v>44539</v>
      </c>
      <c r="B8" t="s">
        <v>445</v>
      </c>
      <c r="C8" s="4">
        <v>146000</v>
      </c>
      <c r="D8" s="12" t="s">
        <v>26</v>
      </c>
      <c r="F8" s="12" t="s">
        <v>229</v>
      </c>
      <c r="I8" s="4">
        <f t="shared" si="0"/>
        <v>0</v>
      </c>
    </row>
    <row r="9" spans="1:11" x14ac:dyDescent="0.25">
      <c r="A9" s="2">
        <v>44581</v>
      </c>
      <c r="B9" t="s">
        <v>508</v>
      </c>
      <c r="C9" s="4">
        <v>4000</v>
      </c>
      <c r="D9" s="12" t="s">
        <v>26</v>
      </c>
      <c r="E9" t="s">
        <v>218</v>
      </c>
      <c r="F9" s="12" t="s">
        <v>52</v>
      </c>
      <c r="I9" s="4">
        <f t="shared" si="0"/>
        <v>0</v>
      </c>
    </row>
    <row r="10" spans="1:11" x14ac:dyDescent="0.25">
      <c r="A10" s="2">
        <v>44582</v>
      </c>
      <c r="B10" t="s">
        <v>513</v>
      </c>
      <c r="C10" s="4">
        <v>8000</v>
      </c>
      <c r="D10" s="12" t="s">
        <v>26</v>
      </c>
      <c r="E10" t="s">
        <v>218</v>
      </c>
      <c r="F10" s="12" t="s">
        <v>52</v>
      </c>
      <c r="I10" s="4">
        <f t="shared" si="0"/>
        <v>0</v>
      </c>
    </row>
    <row r="11" spans="1:11" x14ac:dyDescent="0.25">
      <c r="A11" s="2">
        <v>44638</v>
      </c>
      <c r="B11" t="s">
        <v>568</v>
      </c>
      <c r="C11" s="4">
        <v>20000</v>
      </c>
      <c r="D11" s="12" t="s">
        <v>26</v>
      </c>
      <c r="F11" s="12" t="s">
        <v>25</v>
      </c>
      <c r="I11" s="4">
        <f t="shared" si="0"/>
        <v>0</v>
      </c>
    </row>
    <row r="12" spans="1:11" x14ac:dyDescent="0.25">
      <c r="A12" s="2">
        <v>44706</v>
      </c>
      <c r="B12" t="s">
        <v>367</v>
      </c>
      <c r="C12" s="4">
        <v>10000</v>
      </c>
      <c r="D12" s="12" t="s">
        <v>26</v>
      </c>
      <c r="F12" s="12" t="s">
        <v>25</v>
      </c>
      <c r="I12" s="4">
        <f t="shared" si="0"/>
        <v>0</v>
      </c>
    </row>
    <row r="13" spans="1:11" x14ac:dyDescent="0.25">
      <c r="A13" s="2">
        <v>44683</v>
      </c>
      <c r="B13" t="s">
        <v>610</v>
      </c>
      <c r="C13" s="4">
        <v>20000</v>
      </c>
      <c r="D13" s="12" t="s">
        <v>26</v>
      </c>
      <c r="F13" s="12" t="s">
        <v>25</v>
      </c>
      <c r="I13" s="4">
        <f t="shared" si="0"/>
        <v>0</v>
      </c>
    </row>
    <row r="14" spans="1:11" x14ac:dyDescent="0.25">
      <c r="A14" s="2">
        <v>44701</v>
      </c>
      <c r="B14" t="s">
        <v>623</v>
      </c>
      <c r="C14" s="4">
        <v>9000</v>
      </c>
      <c r="D14" s="12" t="s">
        <v>26</v>
      </c>
      <c r="F14" s="12" t="s">
        <v>25</v>
      </c>
      <c r="I14" s="4">
        <f t="shared" si="0"/>
        <v>0</v>
      </c>
    </row>
    <row r="15" spans="1:11" x14ac:dyDescent="0.25">
      <c r="A15" s="2">
        <v>44753</v>
      </c>
      <c r="B15" t="s">
        <v>662</v>
      </c>
      <c r="C15" s="4">
        <v>88000</v>
      </c>
      <c r="D15" s="12" t="s">
        <v>26</v>
      </c>
      <c r="F15" s="12" t="s">
        <v>10</v>
      </c>
      <c r="I15" s="4">
        <f t="shared" si="0"/>
        <v>0</v>
      </c>
    </row>
    <row r="16" spans="1:11" x14ac:dyDescent="0.25">
      <c r="A16" s="2">
        <v>44757</v>
      </c>
      <c r="B16" t="s">
        <v>667</v>
      </c>
      <c r="C16" s="4">
        <v>5000</v>
      </c>
      <c r="D16" s="12" t="s">
        <v>26</v>
      </c>
      <c r="F16" s="12" t="s">
        <v>52</v>
      </c>
      <c r="I16" s="4">
        <f t="shared" si="0"/>
        <v>0</v>
      </c>
    </row>
    <row r="17" spans="1:11" x14ac:dyDescent="0.25">
      <c r="A17" s="2">
        <v>44775</v>
      </c>
      <c r="B17" t="s">
        <v>680</v>
      </c>
      <c r="C17" s="4">
        <v>21000</v>
      </c>
      <c r="D17" s="12" t="s">
        <v>26</v>
      </c>
      <c r="F17" s="12" t="s">
        <v>10</v>
      </c>
      <c r="I17" s="4">
        <f t="shared" si="0"/>
        <v>0</v>
      </c>
    </row>
    <row r="18" spans="1:11" x14ac:dyDescent="0.25">
      <c r="A18" s="2">
        <v>44796</v>
      </c>
      <c r="B18" t="s">
        <v>708</v>
      </c>
      <c r="C18" s="4">
        <v>76000</v>
      </c>
      <c r="D18" s="12" t="s">
        <v>26</v>
      </c>
      <c r="F18" s="12" t="s">
        <v>52</v>
      </c>
      <c r="I18" s="4">
        <f t="shared" si="0"/>
        <v>0</v>
      </c>
    </row>
    <row r="19" spans="1:11" x14ac:dyDescent="0.25">
      <c r="A19" s="2">
        <v>44809</v>
      </c>
      <c r="B19" t="s">
        <v>724</v>
      </c>
      <c r="C19" s="4">
        <v>72000</v>
      </c>
      <c r="D19" s="12" t="s">
        <v>26</v>
      </c>
      <c r="F19" s="12" t="s">
        <v>52</v>
      </c>
      <c r="I19" s="4">
        <f t="shared" si="0"/>
        <v>0</v>
      </c>
    </row>
    <row r="20" spans="1:11" x14ac:dyDescent="0.25">
      <c r="A20" s="2">
        <v>44816</v>
      </c>
      <c r="B20" t="s">
        <v>729</v>
      </c>
      <c r="C20" s="4">
        <v>18000</v>
      </c>
      <c r="D20" s="12" t="s">
        <v>26</v>
      </c>
      <c r="F20" s="12" t="s">
        <v>10</v>
      </c>
      <c r="I20" s="4">
        <f t="shared" si="0"/>
        <v>0</v>
      </c>
    </row>
    <row r="21" spans="1:11" x14ac:dyDescent="0.25">
      <c r="A21" s="2">
        <v>44817</v>
      </c>
      <c r="B21" t="s">
        <v>892</v>
      </c>
      <c r="C21" s="4">
        <v>5000</v>
      </c>
      <c r="D21" s="12" t="s">
        <v>26</v>
      </c>
      <c r="F21" s="12" t="s">
        <v>25</v>
      </c>
      <c r="I21" s="4">
        <f t="shared" si="0"/>
        <v>0</v>
      </c>
      <c r="K21" t="s">
        <v>1176</v>
      </c>
    </row>
    <row r="22" spans="1:11" x14ac:dyDescent="0.25">
      <c r="A22" s="2">
        <v>44832</v>
      </c>
      <c r="B22" t="s">
        <v>746</v>
      </c>
      <c r="C22" s="4">
        <v>20000</v>
      </c>
      <c r="D22" s="12" t="s">
        <v>26</v>
      </c>
      <c r="F22" s="12" t="s">
        <v>52</v>
      </c>
      <c r="I22" s="4">
        <f t="shared" si="0"/>
        <v>0</v>
      </c>
    </row>
    <row r="23" spans="1:11" x14ac:dyDescent="0.25">
      <c r="A23" s="2">
        <v>44981</v>
      </c>
      <c r="B23" t="s">
        <v>901</v>
      </c>
      <c r="C23" s="4">
        <v>14000</v>
      </c>
      <c r="D23" s="12" t="s">
        <v>26</v>
      </c>
      <c r="F23" s="12" t="s">
        <v>103</v>
      </c>
      <c r="I23" s="4">
        <f t="shared" si="0"/>
        <v>0</v>
      </c>
    </row>
    <row r="24" spans="1:11" x14ac:dyDescent="0.25">
      <c r="A24" s="2">
        <v>44984</v>
      </c>
      <c r="B24" t="s">
        <v>903</v>
      </c>
      <c r="C24" s="4">
        <v>26000</v>
      </c>
      <c r="D24" s="12" t="s">
        <v>26</v>
      </c>
      <c r="F24" s="12" t="s">
        <v>25</v>
      </c>
      <c r="I24" s="4">
        <f t="shared" si="0"/>
        <v>0</v>
      </c>
      <c r="K24" t="s">
        <v>1082</v>
      </c>
    </row>
    <row r="25" spans="1:11" x14ac:dyDescent="0.25">
      <c r="A25" s="2">
        <v>45000</v>
      </c>
      <c r="B25" t="s">
        <v>916</v>
      </c>
      <c r="C25" s="4">
        <v>8000</v>
      </c>
      <c r="D25" s="12" t="s">
        <v>26</v>
      </c>
      <c r="F25" s="12" t="s">
        <v>10</v>
      </c>
      <c r="I25" s="4">
        <f t="shared" si="0"/>
        <v>0</v>
      </c>
    </row>
    <row r="26" spans="1:11" x14ac:dyDescent="0.25">
      <c r="A26" s="2">
        <v>45000</v>
      </c>
      <c r="B26" t="s">
        <v>917</v>
      </c>
      <c r="C26" s="4">
        <v>15000</v>
      </c>
      <c r="D26" s="12" t="s">
        <v>7</v>
      </c>
      <c r="F26" s="12" t="s">
        <v>10</v>
      </c>
      <c r="I26" s="4">
        <f t="shared" si="0"/>
        <v>15000</v>
      </c>
    </row>
    <row r="27" spans="1:11" x14ac:dyDescent="0.25">
      <c r="A27" s="2">
        <v>45051</v>
      </c>
      <c r="B27" t="s">
        <v>957</v>
      </c>
      <c r="C27" s="4">
        <v>22000</v>
      </c>
      <c r="D27" s="12" t="s">
        <v>889</v>
      </c>
      <c r="F27" s="12" t="s">
        <v>25</v>
      </c>
      <c r="I27" s="4">
        <f t="shared" si="0"/>
        <v>0</v>
      </c>
    </row>
    <row r="28" spans="1:11" x14ac:dyDescent="0.25">
      <c r="A28" s="2">
        <v>45229</v>
      </c>
      <c r="B28" t="s">
        <v>875</v>
      </c>
      <c r="C28" s="4">
        <v>10000</v>
      </c>
      <c r="D28" s="12" t="s">
        <v>26</v>
      </c>
      <c r="I28" s="4">
        <f t="shared" si="0"/>
        <v>0</v>
      </c>
    </row>
    <row r="29" spans="1:11" x14ac:dyDescent="0.25">
      <c r="A29" s="2">
        <v>45234</v>
      </c>
      <c r="B29" t="s">
        <v>1154</v>
      </c>
      <c r="C29" s="4">
        <v>30000</v>
      </c>
      <c r="D29" s="12" t="s">
        <v>26</v>
      </c>
      <c r="I29" s="4">
        <f t="shared" si="0"/>
        <v>0</v>
      </c>
    </row>
    <row r="30" spans="1:11" x14ac:dyDescent="0.25">
      <c r="A30" s="2">
        <v>45310</v>
      </c>
      <c r="B30" t="s">
        <v>1221</v>
      </c>
      <c r="C30" s="4">
        <v>50000</v>
      </c>
      <c r="D30" s="12" t="s">
        <v>26</v>
      </c>
      <c r="I30" s="4">
        <f t="shared" si="0"/>
        <v>0</v>
      </c>
    </row>
    <row r="31" spans="1:11" x14ac:dyDescent="0.25">
      <c r="A31" s="2">
        <v>45348</v>
      </c>
      <c r="B31" t="s">
        <v>1265</v>
      </c>
      <c r="C31" s="4">
        <v>64000</v>
      </c>
      <c r="D31" s="12" t="s">
        <v>26</v>
      </c>
      <c r="I31" s="4">
        <f t="shared" si="0"/>
        <v>0</v>
      </c>
    </row>
    <row r="32" spans="1:11" x14ac:dyDescent="0.25">
      <c r="A32" s="2">
        <v>45440</v>
      </c>
      <c r="B32" t="s">
        <v>1346</v>
      </c>
      <c r="C32" s="4">
        <v>12000</v>
      </c>
      <c r="D32" s="12" t="s">
        <v>26</v>
      </c>
      <c r="I32" s="4">
        <f t="shared" si="0"/>
        <v>0</v>
      </c>
    </row>
    <row r="33" spans="1:9" x14ac:dyDescent="0.25">
      <c r="A33" s="2">
        <v>45567</v>
      </c>
      <c r="B33" t="s">
        <v>504</v>
      </c>
      <c r="C33" s="4">
        <v>60000</v>
      </c>
      <c r="D33" s="12" t="s">
        <v>889</v>
      </c>
      <c r="I33" s="4">
        <f t="shared" si="0"/>
        <v>0</v>
      </c>
    </row>
    <row r="34" spans="1:9" x14ac:dyDescent="0.25">
      <c r="A34" s="2">
        <v>45618</v>
      </c>
      <c r="B34" t="s">
        <v>1520</v>
      </c>
      <c r="C34" s="4">
        <v>6500</v>
      </c>
      <c r="D34" s="12" t="s">
        <v>889</v>
      </c>
      <c r="I34" s="4">
        <f t="shared" si="0"/>
        <v>0</v>
      </c>
    </row>
    <row r="35" spans="1:9" x14ac:dyDescent="0.25">
      <c r="A35" s="2">
        <v>45646</v>
      </c>
      <c r="B35" t="s">
        <v>1521</v>
      </c>
      <c r="C35" s="4">
        <v>35000</v>
      </c>
      <c r="D35" s="12" t="s">
        <v>26</v>
      </c>
      <c r="I35" s="4">
        <f t="shared" si="0"/>
        <v>0</v>
      </c>
    </row>
    <row r="36" spans="1:9" x14ac:dyDescent="0.25">
      <c r="A36" s="2">
        <v>45663</v>
      </c>
      <c r="B36" t="s">
        <v>1530</v>
      </c>
      <c r="C36" s="4">
        <v>10000</v>
      </c>
      <c r="D36" s="12" t="s">
        <v>7</v>
      </c>
      <c r="I36" s="4">
        <f t="shared" si="0"/>
        <v>10000</v>
      </c>
    </row>
    <row r="37" spans="1:9" x14ac:dyDescent="0.25">
      <c r="I37" s="4">
        <f t="shared" si="0"/>
        <v>0</v>
      </c>
    </row>
    <row r="38" spans="1:9" x14ac:dyDescent="0.25">
      <c r="I38" s="4">
        <f t="shared" si="0"/>
        <v>0</v>
      </c>
    </row>
    <row r="39" spans="1:9" x14ac:dyDescent="0.25">
      <c r="I39" s="4">
        <f t="shared" si="0"/>
        <v>0</v>
      </c>
    </row>
    <row r="40" spans="1:9" x14ac:dyDescent="0.25">
      <c r="I40" s="4">
        <f t="shared" si="0"/>
        <v>0</v>
      </c>
    </row>
  </sheetData>
  <autoFilter ref="A1:F40">
    <sortState ref="A2:F40">
      <sortCondition ref="A1:A40"/>
    </sortState>
  </autoFilter>
  <conditionalFormatting sqref="D1:D1048576">
    <cfRule type="cellIs" dxfId="192" priority="6" operator="equal">
      <formula>"PAGADO"</formula>
    </cfRule>
    <cfRule type="cellIs" dxfId="191" priority="7" operator="equal">
      <formula>"PENDIENTE"</formula>
    </cfRule>
    <cfRule type="cellIs" dxfId="190" priority="8" operator="equal">
      <formula>"""PENDIENTE"""</formula>
    </cfRule>
  </conditionalFormatting>
  <conditionalFormatting sqref="E1:E2 E5:E1048576">
    <cfRule type="cellIs" dxfId="189" priority="4" operator="equal">
      <formula>"FACTURADO"</formula>
    </cfRule>
    <cfRule type="cellIs" dxfId="188" priority="5" operator="equal">
      <formula>"NO FACTURADO"</formula>
    </cfRule>
  </conditionalFormatting>
  <conditionalFormatting sqref="F1:F1048576">
    <cfRule type="cellIs" dxfId="187" priority="1" operator="equal">
      <formula>"DELIS"</formula>
    </cfRule>
    <cfRule type="cellIs" dxfId="186" priority="2" operator="equal">
      <formula>"CESAR"</formula>
    </cfRule>
    <cfRule type="cellIs" dxfId="185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44239</v>
      </c>
      <c r="B3" t="s">
        <v>110</v>
      </c>
      <c r="C3" s="4">
        <v>50000</v>
      </c>
      <c r="D3" s="10" t="s">
        <v>111</v>
      </c>
      <c r="E3" t="s">
        <v>22</v>
      </c>
      <c r="I3" s="4">
        <f>((IF(D3="PENDIENTE",C3,0))*OR(IF(D3="ABONO",-C3,0)))</f>
        <v>0</v>
      </c>
    </row>
    <row r="4" spans="1:11" x14ac:dyDescent="0.25">
      <c r="A4" s="2">
        <v>44239</v>
      </c>
      <c r="B4" t="s">
        <v>112</v>
      </c>
      <c r="C4" s="4">
        <v>41500</v>
      </c>
      <c r="D4" t="s">
        <v>26</v>
      </c>
      <c r="E4" t="s">
        <v>22</v>
      </c>
      <c r="I4" s="4">
        <f t="shared" ref="I4:I40" si="0">IF(D4="PENDIENTE",C4,0)</f>
        <v>0</v>
      </c>
    </row>
    <row r="5" spans="1:11" x14ac:dyDescent="0.25">
      <c r="B5" t="s">
        <v>87</v>
      </c>
      <c r="C5" s="4">
        <v>4000</v>
      </c>
      <c r="D5" s="12" t="s">
        <v>26</v>
      </c>
      <c r="E5" s="12" t="s">
        <v>22</v>
      </c>
      <c r="F5" s="12" t="s">
        <v>25</v>
      </c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184" priority="6" operator="equal">
      <formula>"PAGADO"</formula>
    </cfRule>
    <cfRule type="cellIs" dxfId="183" priority="7" operator="equal">
      <formula>"PENDIENTE"</formula>
    </cfRule>
    <cfRule type="cellIs" dxfId="182" priority="8" operator="equal">
      <formula>"""PENDIENTE"""</formula>
    </cfRule>
  </conditionalFormatting>
  <conditionalFormatting sqref="E1:E1048576">
    <cfRule type="cellIs" dxfId="181" priority="4" operator="equal">
      <formula>"FACTURADO"</formula>
    </cfRule>
    <cfRule type="cellIs" dxfId="180" priority="5" operator="equal">
      <formula>"NO FACTURADO"</formula>
    </cfRule>
  </conditionalFormatting>
  <conditionalFormatting sqref="F1:F1048576">
    <cfRule type="cellIs" dxfId="179" priority="1" operator="equal">
      <formula>"DELIS"</formula>
    </cfRule>
    <cfRule type="cellIs" dxfId="178" priority="2" operator="equal">
      <formula>"CESAR"</formula>
    </cfRule>
    <cfRule type="cellIs" dxfId="177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44284</v>
      </c>
      <c r="B2" t="s">
        <v>195</v>
      </c>
      <c r="C2" s="4">
        <v>20000</v>
      </c>
      <c r="D2" t="s">
        <v>157</v>
      </c>
      <c r="E2" t="s">
        <v>22</v>
      </c>
      <c r="F2" t="s">
        <v>52</v>
      </c>
      <c r="H2" t="str">
        <f>IF(E:E="NO FACTURADO","PENDIENTE","AL DIA")</f>
        <v>AL DIA</v>
      </c>
      <c r="I2" s="4">
        <f>IF(D2="PENDIENTE",C2,0)</f>
        <v>0</v>
      </c>
      <c r="J2" s="4">
        <f>SUM(I:I)</f>
        <v>0</v>
      </c>
      <c r="K2" s="11" t="s">
        <v>121</v>
      </c>
    </row>
    <row r="3" spans="1:11" x14ac:dyDescent="0.25">
      <c r="I3" s="4">
        <v>0</v>
      </c>
    </row>
    <row r="4" spans="1:11" x14ac:dyDescent="0.25">
      <c r="I4" s="4">
        <f t="shared" ref="I4:I37" si="0">IF(D3="PENDIENTE",C3,0)</f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6"/>
  <conditionalFormatting sqref="D1:D1048576">
    <cfRule type="cellIs" dxfId="176" priority="7" operator="equal">
      <formula>"PAGADO"</formula>
    </cfRule>
    <cfRule type="cellIs" dxfId="175" priority="8" operator="equal">
      <formula>"PENDIENTE"</formula>
    </cfRule>
    <cfRule type="cellIs" dxfId="174" priority="9" operator="equal">
      <formula>"""PENDIENTE"""</formula>
    </cfRule>
  </conditionalFormatting>
  <conditionalFormatting sqref="E1:E1048576">
    <cfRule type="cellIs" dxfId="173" priority="5" operator="equal">
      <formula>"FACTURADO"</formula>
    </cfRule>
    <cfRule type="cellIs" dxfId="172" priority="6" operator="equal">
      <formula>"NO FACTURADO"</formula>
    </cfRule>
  </conditionalFormatting>
  <conditionalFormatting sqref="F1:F1048576">
    <cfRule type="cellIs" dxfId="171" priority="1" operator="equal">
      <formula>"NATALIA"</formula>
    </cfRule>
    <cfRule type="cellIs" dxfId="170" priority="2" operator="equal">
      <formula>"DELIS"</formula>
    </cfRule>
    <cfRule type="cellIs" dxfId="169" priority="3" operator="equal">
      <formula>"CESAR"</formula>
    </cfRule>
    <cfRule type="cellIs" dxfId="168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37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44277</v>
      </c>
      <c r="B3" t="s">
        <v>179</v>
      </c>
      <c r="C3" s="4">
        <v>12000</v>
      </c>
      <c r="D3" s="10" t="s">
        <v>157</v>
      </c>
      <c r="F3" t="s">
        <v>52</v>
      </c>
      <c r="I3" s="4">
        <f t="shared" si="0"/>
        <v>0</v>
      </c>
    </row>
    <row r="4" spans="1:11" x14ac:dyDescent="0.25">
      <c r="A4" s="2">
        <v>44743</v>
      </c>
      <c r="B4" t="s">
        <v>653</v>
      </c>
      <c r="C4" s="4">
        <v>50000</v>
      </c>
      <c r="D4" t="s">
        <v>157</v>
      </c>
      <c r="E4" t="s">
        <v>22</v>
      </c>
      <c r="F4" t="s">
        <v>10</v>
      </c>
      <c r="I4" s="4">
        <f t="shared" si="0"/>
        <v>0</v>
      </c>
    </row>
    <row r="5" spans="1:11" x14ac:dyDescent="0.25">
      <c r="A5" s="2">
        <v>44840</v>
      </c>
      <c r="B5" t="s">
        <v>755</v>
      </c>
      <c r="C5" s="4">
        <v>3900</v>
      </c>
      <c r="D5" s="12" t="s">
        <v>157</v>
      </c>
      <c r="F5" s="12" t="s">
        <v>25</v>
      </c>
      <c r="I5" s="4">
        <f t="shared" si="0"/>
        <v>0</v>
      </c>
    </row>
    <row r="6" spans="1:11" x14ac:dyDescent="0.25">
      <c r="A6" s="2">
        <v>44872</v>
      </c>
      <c r="B6" t="s">
        <v>786</v>
      </c>
      <c r="C6" s="4">
        <v>51900</v>
      </c>
      <c r="D6" s="12" t="s">
        <v>157</v>
      </c>
      <c r="F6" s="12" t="s">
        <v>270</v>
      </c>
      <c r="I6" s="4">
        <f t="shared" si="0"/>
        <v>0</v>
      </c>
    </row>
    <row r="7" spans="1:11" x14ac:dyDescent="0.25">
      <c r="A7" s="2">
        <v>44880</v>
      </c>
      <c r="B7" t="s">
        <v>795</v>
      </c>
      <c r="C7" s="4">
        <v>52000</v>
      </c>
      <c r="D7" s="12" t="s">
        <v>157</v>
      </c>
      <c r="F7" s="12" t="s">
        <v>25</v>
      </c>
      <c r="I7" s="4">
        <f t="shared" si="0"/>
        <v>0</v>
      </c>
    </row>
    <row r="8" spans="1:11" x14ac:dyDescent="0.25">
      <c r="A8" s="2">
        <v>44913</v>
      </c>
      <c r="B8" t="s">
        <v>847</v>
      </c>
      <c r="C8" s="4">
        <v>10000</v>
      </c>
      <c r="D8" s="12" t="s">
        <v>157</v>
      </c>
      <c r="F8" s="12" t="s">
        <v>25</v>
      </c>
      <c r="I8" s="4">
        <f t="shared" si="0"/>
        <v>0</v>
      </c>
    </row>
    <row r="9" spans="1:11" x14ac:dyDescent="0.25">
      <c r="A9" s="2">
        <v>44971</v>
      </c>
      <c r="B9" t="s">
        <v>882</v>
      </c>
      <c r="C9" s="4">
        <v>10000</v>
      </c>
      <c r="D9" s="12" t="s">
        <v>157</v>
      </c>
      <c r="F9" s="12" t="s">
        <v>25</v>
      </c>
      <c r="I9" s="4">
        <f t="shared" si="0"/>
        <v>0</v>
      </c>
    </row>
    <row r="10" spans="1:11" x14ac:dyDescent="0.25">
      <c r="A10" s="2">
        <v>44988</v>
      </c>
      <c r="B10" t="s">
        <v>908</v>
      </c>
      <c r="C10" s="4">
        <v>19000</v>
      </c>
      <c r="D10" s="12" t="s">
        <v>157</v>
      </c>
      <c r="F10" s="12" t="s">
        <v>25</v>
      </c>
      <c r="I10" s="4">
        <f t="shared" si="0"/>
        <v>0</v>
      </c>
    </row>
    <row r="11" spans="1:11" x14ac:dyDescent="0.25">
      <c r="A11" s="2">
        <v>45030</v>
      </c>
      <c r="B11" t="s">
        <v>933</v>
      </c>
      <c r="C11" s="4">
        <v>10000</v>
      </c>
      <c r="D11" s="12" t="s">
        <v>157</v>
      </c>
      <c r="F11" s="12" t="s">
        <v>25</v>
      </c>
      <c r="I11" s="4">
        <f t="shared" si="0"/>
        <v>0</v>
      </c>
    </row>
    <row r="12" spans="1:11" x14ac:dyDescent="0.25">
      <c r="A12" s="2">
        <v>45055</v>
      </c>
      <c r="B12" t="s">
        <v>962</v>
      </c>
      <c r="C12" s="4">
        <v>7000</v>
      </c>
      <c r="D12" s="12" t="s">
        <v>157</v>
      </c>
      <c r="F12" s="12" t="s">
        <v>25</v>
      </c>
      <c r="I12" s="4">
        <f t="shared" si="0"/>
        <v>0</v>
      </c>
    </row>
    <row r="13" spans="1:11" x14ac:dyDescent="0.25">
      <c r="A13" s="2">
        <v>45090</v>
      </c>
      <c r="B13" t="s">
        <v>1005</v>
      </c>
      <c r="C13" s="4">
        <v>42000</v>
      </c>
      <c r="D13" s="12" t="s">
        <v>157</v>
      </c>
      <c r="F13" s="12" t="s">
        <v>25</v>
      </c>
      <c r="I13" s="4">
        <f t="shared" si="0"/>
        <v>0</v>
      </c>
    </row>
    <row r="14" spans="1:11" x14ac:dyDescent="0.25">
      <c r="A14" s="2">
        <v>45286</v>
      </c>
      <c r="B14" t="s">
        <v>1206</v>
      </c>
      <c r="C14" s="4">
        <v>10000</v>
      </c>
      <c r="D14" s="12" t="s">
        <v>157</v>
      </c>
      <c r="F14" s="12" t="s">
        <v>10</v>
      </c>
      <c r="I14" s="4">
        <f t="shared" si="0"/>
        <v>0</v>
      </c>
    </row>
    <row r="15" spans="1:11" x14ac:dyDescent="0.25">
      <c r="A15" s="2">
        <v>45289</v>
      </c>
      <c r="B15" t="s">
        <v>1210</v>
      </c>
      <c r="C15" s="4">
        <v>9000</v>
      </c>
      <c r="D15" s="12" t="s">
        <v>157</v>
      </c>
      <c r="I15" s="4">
        <f t="shared" si="0"/>
        <v>0</v>
      </c>
    </row>
    <row r="16" spans="1:11" x14ac:dyDescent="0.25">
      <c r="A16" s="2">
        <v>45373</v>
      </c>
      <c r="B16" t="s">
        <v>1289</v>
      </c>
      <c r="C16" s="4">
        <v>18000</v>
      </c>
      <c r="D16" s="12" t="s">
        <v>157</v>
      </c>
      <c r="F16" t="s">
        <v>229</v>
      </c>
      <c r="I16" s="4">
        <f t="shared" si="0"/>
        <v>0</v>
      </c>
    </row>
    <row r="17" spans="1:9" x14ac:dyDescent="0.25">
      <c r="A17" s="2">
        <v>45457</v>
      </c>
      <c r="B17" t="s">
        <v>1370</v>
      </c>
      <c r="C17" s="4">
        <v>50000</v>
      </c>
      <c r="D17" s="12" t="s">
        <v>157</v>
      </c>
      <c r="I17" s="4">
        <f t="shared" si="0"/>
        <v>0</v>
      </c>
    </row>
    <row r="18" spans="1:9" x14ac:dyDescent="0.25">
      <c r="A18" s="2">
        <v>45495</v>
      </c>
      <c r="B18" t="s">
        <v>1402</v>
      </c>
      <c r="C18" s="4">
        <v>45000</v>
      </c>
      <c r="D18" s="12" t="s">
        <v>157</v>
      </c>
      <c r="I18" s="4">
        <f t="shared" si="0"/>
        <v>0</v>
      </c>
    </row>
    <row r="19" spans="1:9" x14ac:dyDescent="0.25">
      <c r="A19" s="2">
        <v>45623</v>
      </c>
      <c r="B19" t="s">
        <v>97</v>
      </c>
      <c r="C19" s="4">
        <v>15000</v>
      </c>
      <c r="D19" s="12" t="s">
        <v>157</v>
      </c>
      <c r="I19" s="4">
        <f t="shared" si="0"/>
        <v>0</v>
      </c>
    </row>
    <row r="20" spans="1:9" x14ac:dyDescent="0.25">
      <c r="A20" s="2">
        <v>45652</v>
      </c>
      <c r="B20" t="s">
        <v>1526</v>
      </c>
      <c r="C20" s="4">
        <v>90000</v>
      </c>
      <c r="D20" s="12" t="s">
        <v>157</v>
      </c>
      <c r="I20" s="4">
        <f t="shared" si="0"/>
        <v>0</v>
      </c>
    </row>
    <row r="21" spans="1:9" x14ac:dyDescent="0.25">
      <c r="A21" s="2">
        <v>45660</v>
      </c>
      <c r="B21" t="s">
        <v>1529</v>
      </c>
      <c r="C21" s="4">
        <v>28000</v>
      </c>
      <c r="D21" s="12" t="s">
        <v>157</v>
      </c>
      <c r="I21" s="4">
        <f t="shared" si="0"/>
        <v>0</v>
      </c>
    </row>
    <row r="22" spans="1:9" x14ac:dyDescent="0.25">
      <c r="A22" s="2">
        <v>45663</v>
      </c>
      <c r="B22" t="s">
        <v>1531</v>
      </c>
      <c r="C22" s="4">
        <v>10000</v>
      </c>
      <c r="D22" s="12" t="s">
        <v>157</v>
      </c>
      <c r="I22" s="4">
        <f t="shared" si="0"/>
        <v>0</v>
      </c>
    </row>
    <row r="23" spans="1:9" x14ac:dyDescent="0.25">
      <c r="I23" s="4">
        <f t="shared" si="0"/>
        <v>0</v>
      </c>
    </row>
    <row r="24" spans="1:9" x14ac:dyDescent="0.25">
      <c r="I24" s="4">
        <f t="shared" si="0"/>
        <v>0</v>
      </c>
    </row>
    <row r="25" spans="1:9" x14ac:dyDescent="0.25">
      <c r="I25" s="4">
        <f t="shared" si="0"/>
        <v>0</v>
      </c>
    </row>
    <row r="26" spans="1:9" x14ac:dyDescent="0.25">
      <c r="I26" s="4">
        <f t="shared" si="0"/>
        <v>0</v>
      </c>
    </row>
    <row r="27" spans="1:9" x14ac:dyDescent="0.25">
      <c r="I27" s="4">
        <f t="shared" si="0"/>
        <v>0</v>
      </c>
    </row>
    <row r="28" spans="1:9" x14ac:dyDescent="0.25">
      <c r="I28" s="4">
        <f t="shared" si="0"/>
        <v>0</v>
      </c>
    </row>
    <row r="29" spans="1:9" x14ac:dyDescent="0.25">
      <c r="I29" s="4">
        <f t="shared" si="0"/>
        <v>0</v>
      </c>
    </row>
    <row r="30" spans="1:9" x14ac:dyDescent="0.25">
      <c r="I30" s="4">
        <f t="shared" si="0"/>
        <v>0</v>
      </c>
    </row>
    <row r="31" spans="1:9" x14ac:dyDescent="0.25">
      <c r="I31" s="4">
        <f t="shared" si="0"/>
        <v>0</v>
      </c>
    </row>
    <row r="32" spans="1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</sheetData>
  <autoFilter ref="A1:F37"/>
  <conditionalFormatting sqref="D1:D1048576">
    <cfRule type="cellIs" dxfId="167" priority="7" operator="equal">
      <formula>"PAGADO"</formula>
    </cfRule>
    <cfRule type="cellIs" dxfId="166" priority="8" operator="equal">
      <formula>"PENDIENTE"</formula>
    </cfRule>
    <cfRule type="cellIs" dxfId="165" priority="9" operator="equal">
      <formula>"""PENDIENTE"""</formula>
    </cfRule>
  </conditionalFormatting>
  <conditionalFormatting sqref="E1:E1048576">
    <cfRule type="cellIs" dxfId="164" priority="5" operator="equal">
      <formula>"FACTURADO"</formula>
    </cfRule>
    <cfRule type="cellIs" dxfId="163" priority="6" operator="equal">
      <formula>"NO FACTURADO"</formula>
    </cfRule>
  </conditionalFormatting>
  <conditionalFormatting sqref="F1:F1048576">
    <cfRule type="cellIs" dxfId="162" priority="1" operator="equal">
      <formula>"NATALIA"</formula>
    </cfRule>
    <cfRule type="cellIs" dxfId="161" priority="2" operator="equal">
      <formula>"DELIS"</formula>
    </cfRule>
    <cfRule type="cellIs" dxfId="160" priority="3" operator="equal">
      <formula>"CESAR"</formula>
    </cfRule>
    <cfRule type="cellIs" dxfId="159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1:L40"/>
  <sheetViews>
    <sheetView workbookViewId="0">
      <selection activeCell="L2" sqref="L2"/>
    </sheetView>
  </sheetViews>
  <sheetFormatPr baseColWidth="10" defaultRowHeight="15" x14ac:dyDescent="0.25"/>
  <cols>
    <col min="2" max="2" width="45" customWidth="1"/>
    <col min="3" max="3" width="12" style="4" bestFit="1" customWidth="1"/>
    <col min="6" max="6" width="22.85546875" customWidth="1"/>
    <col min="8" max="8" width="4.140625" customWidth="1"/>
    <col min="10" max="10" width="13.7109375" style="4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111</v>
      </c>
      <c r="F1" s="5" t="s">
        <v>5</v>
      </c>
      <c r="G1" s="5" t="s">
        <v>9</v>
      </c>
      <c r="I1" s="5" t="s">
        <v>5</v>
      </c>
      <c r="J1" s="9" t="s">
        <v>13</v>
      </c>
    </row>
    <row r="2" spans="1:12" x14ac:dyDescent="0.25">
      <c r="A2" s="2">
        <v>44265</v>
      </c>
      <c r="B2" t="s">
        <v>163</v>
      </c>
      <c r="C2" s="4">
        <v>84000</v>
      </c>
      <c r="D2" s="10" t="s">
        <v>26</v>
      </c>
      <c r="E2" s="10"/>
      <c r="F2" t="s">
        <v>27</v>
      </c>
      <c r="G2" t="s">
        <v>52</v>
      </c>
      <c r="I2" t="str">
        <f>IF(F:F="NO FACTURADO","PENDIENTE","AL DIA")</f>
        <v>AL DIA</v>
      </c>
      <c r="J2" s="4">
        <f t="shared" ref="J2:J40" si="0">IF(D2="PENDIENTE",C2,0)</f>
        <v>0</v>
      </c>
      <c r="L2" s="11" t="s">
        <v>121</v>
      </c>
    </row>
    <row r="3" spans="1:12" x14ac:dyDescent="0.25">
      <c r="A3" s="2">
        <v>44265</v>
      </c>
      <c r="B3" t="s">
        <v>164</v>
      </c>
      <c r="C3" s="4">
        <v>106000</v>
      </c>
      <c r="D3" s="10" t="s">
        <v>26</v>
      </c>
      <c r="E3" s="10"/>
      <c r="F3" t="s">
        <v>27</v>
      </c>
      <c r="G3" t="s">
        <v>25</v>
      </c>
      <c r="I3" t="str">
        <f t="shared" ref="I3:I10" si="1">IF(F:F="NO FACTURADO","PENDIENTE","AL DIA")</f>
        <v>AL DIA</v>
      </c>
      <c r="J3" s="4">
        <f t="shared" si="0"/>
        <v>0</v>
      </c>
    </row>
    <row r="4" spans="1:12" x14ac:dyDescent="0.25">
      <c r="A4" s="2">
        <v>44265</v>
      </c>
      <c r="B4" t="s">
        <v>165</v>
      </c>
      <c r="C4" s="4">
        <v>67000</v>
      </c>
      <c r="D4" s="10" t="s">
        <v>26</v>
      </c>
      <c r="E4" s="10"/>
      <c r="F4" t="s">
        <v>27</v>
      </c>
      <c r="G4" t="s">
        <v>25</v>
      </c>
      <c r="I4" t="str">
        <f t="shared" si="1"/>
        <v>AL DIA</v>
      </c>
      <c r="J4" s="4">
        <f t="shared" si="0"/>
        <v>0</v>
      </c>
    </row>
    <row r="5" spans="1:12" x14ac:dyDescent="0.25">
      <c r="A5" s="2">
        <v>44265</v>
      </c>
      <c r="B5" t="s">
        <v>166</v>
      </c>
      <c r="C5" s="4">
        <v>134000</v>
      </c>
      <c r="D5" s="10" t="s">
        <v>26</v>
      </c>
      <c r="E5" s="10"/>
      <c r="F5" t="s">
        <v>27</v>
      </c>
      <c r="G5" t="s">
        <v>25</v>
      </c>
      <c r="I5" t="str">
        <f t="shared" si="1"/>
        <v>AL DIA</v>
      </c>
      <c r="J5" s="4">
        <f t="shared" si="0"/>
        <v>0</v>
      </c>
    </row>
    <row r="6" spans="1:12" x14ac:dyDescent="0.25">
      <c r="A6" s="2">
        <v>44265</v>
      </c>
      <c r="B6" t="s">
        <v>167</v>
      </c>
      <c r="C6" s="4">
        <v>36000</v>
      </c>
      <c r="D6" s="10" t="s">
        <v>26</v>
      </c>
      <c r="E6" s="10"/>
      <c r="F6" t="s">
        <v>27</v>
      </c>
      <c r="G6" t="s">
        <v>25</v>
      </c>
      <c r="I6" t="str">
        <f t="shared" si="1"/>
        <v>AL DIA</v>
      </c>
      <c r="J6" s="4">
        <f t="shared" si="0"/>
        <v>0</v>
      </c>
      <c r="K6" s="8" t="s">
        <v>12</v>
      </c>
    </row>
    <row r="7" spans="1:12" x14ac:dyDescent="0.25">
      <c r="A7" s="2">
        <v>44265</v>
      </c>
      <c r="C7" s="4">
        <v>133000</v>
      </c>
      <c r="D7" s="10" t="s">
        <v>26</v>
      </c>
      <c r="E7" s="10"/>
      <c r="F7" t="s">
        <v>27</v>
      </c>
      <c r="G7" t="s">
        <v>25</v>
      </c>
      <c r="I7" t="str">
        <f t="shared" si="1"/>
        <v>AL DIA</v>
      </c>
      <c r="J7" s="4">
        <f t="shared" si="0"/>
        <v>0</v>
      </c>
      <c r="K7" s="4">
        <f>SUM(J:J)</f>
        <v>0</v>
      </c>
    </row>
    <row r="8" spans="1:12" x14ac:dyDescent="0.25">
      <c r="A8" s="2">
        <v>44268</v>
      </c>
      <c r="B8" t="s">
        <v>173</v>
      </c>
      <c r="C8" s="4">
        <v>48000</v>
      </c>
      <c r="D8" s="10" t="s">
        <v>26</v>
      </c>
      <c r="E8" s="10"/>
      <c r="F8" t="s">
        <v>27</v>
      </c>
      <c r="G8" t="s">
        <v>25</v>
      </c>
      <c r="I8" t="str">
        <f t="shared" si="1"/>
        <v>AL DIA</v>
      </c>
      <c r="J8" s="4">
        <f t="shared" si="0"/>
        <v>0</v>
      </c>
    </row>
    <row r="9" spans="1:12" x14ac:dyDescent="0.25">
      <c r="A9" s="2">
        <v>44269</v>
      </c>
      <c r="B9" t="s">
        <v>225</v>
      </c>
      <c r="C9" s="4">
        <v>348000</v>
      </c>
      <c r="D9" s="10" t="s">
        <v>26</v>
      </c>
      <c r="E9" s="10"/>
      <c r="F9" t="s">
        <v>11</v>
      </c>
      <c r="G9" t="s">
        <v>25</v>
      </c>
      <c r="I9" t="str">
        <f t="shared" si="1"/>
        <v>PENDIENTE</v>
      </c>
      <c r="J9" s="4">
        <f t="shared" si="0"/>
        <v>0</v>
      </c>
    </row>
    <row r="10" spans="1:12" x14ac:dyDescent="0.25">
      <c r="A10" s="2">
        <v>44308</v>
      </c>
      <c r="B10" t="s">
        <v>233</v>
      </c>
      <c r="C10" s="4">
        <v>50000</v>
      </c>
      <c r="D10" s="10" t="s">
        <v>26</v>
      </c>
      <c r="E10" s="10"/>
      <c r="F10" t="s">
        <v>11</v>
      </c>
      <c r="G10" t="s">
        <v>25</v>
      </c>
      <c r="I10" t="str">
        <f t="shared" si="1"/>
        <v>PENDIENTE</v>
      </c>
      <c r="J10" s="4">
        <f t="shared" si="0"/>
        <v>0</v>
      </c>
    </row>
    <row r="11" spans="1:12" x14ac:dyDescent="0.25">
      <c r="J11" s="4">
        <f t="shared" si="0"/>
        <v>0</v>
      </c>
    </row>
    <row r="12" spans="1:12" x14ac:dyDescent="0.25">
      <c r="J12" s="4">
        <f t="shared" si="0"/>
        <v>0</v>
      </c>
    </row>
    <row r="13" spans="1:12" x14ac:dyDescent="0.25">
      <c r="J13" s="4">
        <f t="shared" si="0"/>
        <v>0</v>
      </c>
    </row>
    <row r="14" spans="1:12" x14ac:dyDescent="0.25">
      <c r="J14" s="4">
        <f t="shared" si="0"/>
        <v>0</v>
      </c>
    </row>
    <row r="15" spans="1:12" x14ac:dyDescent="0.25">
      <c r="J15" s="4">
        <f t="shared" si="0"/>
        <v>0</v>
      </c>
    </row>
    <row r="16" spans="1:12" x14ac:dyDescent="0.25">
      <c r="J16" s="4">
        <f t="shared" si="0"/>
        <v>0</v>
      </c>
    </row>
    <row r="17" spans="10:10" x14ac:dyDescent="0.25">
      <c r="J17" s="4">
        <f t="shared" si="0"/>
        <v>0</v>
      </c>
    </row>
    <row r="18" spans="10:10" x14ac:dyDescent="0.25">
      <c r="J18" s="4">
        <f t="shared" si="0"/>
        <v>0</v>
      </c>
    </row>
    <row r="19" spans="10:10" x14ac:dyDescent="0.25">
      <c r="J19" s="4">
        <f t="shared" si="0"/>
        <v>0</v>
      </c>
    </row>
    <row r="20" spans="10:10" x14ac:dyDescent="0.25">
      <c r="J20" s="4">
        <f t="shared" si="0"/>
        <v>0</v>
      </c>
    </row>
    <row r="21" spans="10:10" x14ac:dyDescent="0.25">
      <c r="J21" s="4">
        <f t="shared" si="0"/>
        <v>0</v>
      </c>
    </row>
    <row r="22" spans="10:10" x14ac:dyDescent="0.25">
      <c r="J22" s="4">
        <f t="shared" si="0"/>
        <v>0</v>
      </c>
    </row>
    <row r="23" spans="10:10" x14ac:dyDescent="0.25">
      <c r="J23" s="4">
        <f t="shared" si="0"/>
        <v>0</v>
      </c>
    </row>
    <row r="24" spans="10:10" x14ac:dyDescent="0.25">
      <c r="J24" s="4">
        <f t="shared" si="0"/>
        <v>0</v>
      </c>
    </row>
    <row r="25" spans="10:10" x14ac:dyDescent="0.25">
      <c r="J25" s="4">
        <f t="shared" si="0"/>
        <v>0</v>
      </c>
    </row>
    <row r="26" spans="10:10" x14ac:dyDescent="0.25">
      <c r="J26" s="4">
        <f t="shared" si="0"/>
        <v>0</v>
      </c>
    </row>
    <row r="27" spans="10:10" x14ac:dyDescent="0.25">
      <c r="J27" s="4">
        <f t="shared" si="0"/>
        <v>0</v>
      </c>
    </row>
    <row r="28" spans="10:10" x14ac:dyDescent="0.25">
      <c r="J28" s="4">
        <f t="shared" si="0"/>
        <v>0</v>
      </c>
    </row>
    <row r="29" spans="10:10" x14ac:dyDescent="0.25">
      <c r="J29" s="4">
        <f t="shared" si="0"/>
        <v>0</v>
      </c>
    </row>
    <row r="30" spans="10:10" x14ac:dyDescent="0.25">
      <c r="J30" s="4">
        <f t="shared" si="0"/>
        <v>0</v>
      </c>
    </row>
    <row r="31" spans="10:10" x14ac:dyDescent="0.25">
      <c r="J31" s="4">
        <f t="shared" si="0"/>
        <v>0</v>
      </c>
    </row>
    <row r="32" spans="10:10" x14ac:dyDescent="0.25">
      <c r="J32" s="4">
        <f t="shared" si="0"/>
        <v>0</v>
      </c>
    </row>
    <row r="33" spans="10:10" x14ac:dyDescent="0.25">
      <c r="J33" s="4">
        <f t="shared" si="0"/>
        <v>0</v>
      </c>
    </row>
    <row r="34" spans="10:10" x14ac:dyDescent="0.25">
      <c r="J34" s="4">
        <f t="shared" si="0"/>
        <v>0</v>
      </c>
    </row>
    <row r="35" spans="10:10" x14ac:dyDescent="0.25">
      <c r="J35" s="4">
        <f t="shared" si="0"/>
        <v>0</v>
      </c>
    </row>
    <row r="36" spans="10:10" x14ac:dyDescent="0.25">
      <c r="J36" s="4">
        <f t="shared" si="0"/>
        <v>0</v>
      </c>
    </row>
    <row r="37" spans="10:10" x14ac:dyDescent="0.25">
      <c r="J37" s="4">
        <f t="shared" si="0"/>
        <v>0</v>
      </c>
    </row>
    <row r="38" spans="10:10" x14ac:dyDescent="0.25">
      <c r="J38" s="4">
        <f t="shared" si="0"/>
        <v>0</v>
      </c>
    </row>
    <row r="39" spans="10:10" x14ac:dyDescent="0.25">
      <c r="J39" s="4">
        <f t="shared" si="0"/>
        <v>0</v>
      </c>
    </row>
    <row r="40" spans="10:10" x14ac:dyDescent="0.25">
      <c r="J40" s="4">
        <f t="shared" si="0"/>
        <v>0</v>
      </c>
    </row>
  </sheetData>
  <autoFilter ref="A1:G40"/>
  <conditionalFormatting sqref="D1:E1048576">
    <cfRule type="cellIs" dxfId="158" priority="7" operator="equal">
      <formula>"PAGADO"</formula>
    </cfRule>
    <cfRule type="cellIs" dxfId="157" priority="8" operator="equal">
      <formula>"PENDIENTE"</formula>
    </cfRule>
    <cfRule type="cellIs" dxfId="156" priority="9" operator="equal">
      <formula>"""PENDIENTE"""</formula>
    </cfRule>
  </conditionalFormatting>
  <conditionalFormatting sqref="F1:F1048576">
    <cfRule type="cellIs" dxfId="155" priority="5" operator="equal">
      <formula>"FACTURADO"</formula>
    </cfRule>
    <cfRule type="cellIs" dxfId="154" priority="6" operator="equal">
      <formula>"NO FACTURADO"</formula>
    </cfRule>
  </conditionalFormatting>
  <conditionalFormatting sqref="G1:G1048576">
    <cfRule type="cellIs" dxfId="153" priority="1" operator="equal">
      <formula>"NATALIA"</formula>
    </cfRule>
    <cfRule type="cellIs" dxfId="152" priority="2" operator="equal">
      <formula>"DELIS"</formula>
    </cfRule>
    <cfRule type="cellIs" dxfId="151" priority="3" operator="equal">
      <formula>"CESAR"</formula>
    </cfRule>
    <cfRule type="cellIs" dxfId="150" priority="4" operator="equal">
      <formula>"OMAR"</formula>
    </cfRule>
  </conditionalFormatting>
  <hyperlinks>
    <hyperlink ref="L2" location="CLIENTES!A1" display="MENU"/>
  </hyperlink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K40"/>
  <sheetViews>
    <sheetView workbookViewId="0"/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D2" s="10"/>
      <c r="F2" t="s">
        <v>52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/>
      <c r="D3" s="10"/>
      <c r="I3" s="4">
        <f t="shared" si="0"/>
        <v>0</v>
      </c>
    </row>
    <row r="4" spans="1:11" x14ac:dyDescent="0.25"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149" priority="6" operator="equal">
      <formula>"PAGADO"</formula>
    </cfRule>
    <cfRule type="cellIs" dxfId="148" priority="7" operator="equal">
      <formula>"PENDIENTE"</formula>
    </cfRule>
    <cfRule type="cellIs" dxfId="147" priority="8" operator="equal">
      <formula>"""PENDIENTE"""</formula>
    </cfRule>
  </conditionalFormatting>
  <conditionalFormatting sqref="E1:E1048576">
    <cfRule type="cellIs" dxfId="146" priority="4" operator="equal">
      <formula>"FACTURADO"</formula>
    </cfRule>
    <cfRule type="cellIs" dxfId="145" priority="5" operator="equal">
      <formula>"NO FACTURADO"</formula>
    </cfRule>
  </conditionalFormatting>
  <conditionalFormatting sqref="F1:F1048576">
    <cfRule type="cellIs" dxfId="144" priority="1" operator="equal">
      <formula>"DELIS"</formula>
    </cfRule>
    <cfRule type="cellIs" dxfId="143" priority="2" operator="equal">
      <formula>"CESAR"</formula>
    </cfRule>
    <cfRule type="cellIs" dxfId="142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L40"/>
  <sheetViews>
    <sheetView workbookViewId="0">
      <selection activeCell="K3" sqref="K3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2" max="12" width="52.140625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  <c r="L1" t="s">
        <v>414</v>
      </c>
    </row>
    <row r="2" spans="1:12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110000</v>
      </c>
    </row>
    <row r="3" spans="1:12" x14ac:dyDescent="0.25">
      <c r="A3" s="2">
        <v>44224</v>
      </c>
      <c r="B3" t="s">
        <v>81</v>
      </c>
      <c r="C3" s="4">
        <v>10000</v>
      </c>
      <c r="D3" s="10" t="s">
        <v>26</v>
      </c>
      <c r="E3" t="s">
        <v>11</v>
      </c>
      <c r="F3" t="s">
        <v>10</v>
      </c>
      <c r="H3" t="str">
        <f t="shared" ref="H3:H10" si="1">IF(E:E="NO FACTURADO","PENDIENTE","AL DIA")</f>
        <v>PENDIENTE</v>
      </c>
      <c r="I3" s="4">
        <f t="shared" si="0"/>
        <v>0</v>
      </c>
      <c r="K3" s="11" t="s">
        <v>121</v>
      </c>
    </row>
    <row r="4" spans="1:12" x14ac:dyDescent="0.25">
      <c r="A4" s="2">
        <v>44239</v>
      </c>
      <c r="B4" t="s">
        <v>96</v>
      </c>
      <c r="C4" s="4">
        <v>170000</v>
      </c>
      <c r="D4" t="s">
        <v>26</v>
      </c>
      <c r="E4" t="s">
        <v>11</v>
      </c>
      <c r="F4" t="s">
        <v>10</v>
      </c>
      <c r="H4" t="str">
        <f t="shared" si="1"/>
        <v>PENDIENTE</v>
      </c>
      <c r="I4" s="4">
        <f t="shared" si="0"/>
        <v>0</v>
      </c>
    </row>
    <row r="5" spans="1:12" x14ac:dyDescent="0.25">
      <c r="A5" s="2">
        <v>44239</v>
      </c>
      <c r="B5" t="s">
        <v>108</v>
      </c>
      <c r="C5" s="4">
        <v>56000</v>
      </c>
      <c r="D5" t="s">
        <v>26</v>
      </c>
      <c r="E5" t="s">
        <v>11</v>
      </c>
      <c r="F5" s="12" t="s">
        <v>25</v>
      </c>
      <c r="H5" t="str">
        <f t="shared" si="1"/>
        <v>PENDIENTE</v>
      </c>
      <c r="I5" s="4">
        <f t="shared" si="0"/>
        <v>0</v>
      </c>
    </row>
    <row r="6" spans="1:12" x14ac:dyDescent="0.25">
      <c r="A6" s="2">
        <v>44261</v>
      </c>
      <c r="B6" t="s">
        <v>156</v>
      </c>
      <c r="C6" s="4">
        <v>12000</v>
      </c>
      <c r="D6" s="12" t="s">
        <v>26</v>
      </c>
      <c r="E6" s="12" t="s">
        <v>11</v>
      </c>
      <c r="F6" s="12" t="s">
        <v>25</v>
      </c>
      <c r="H6" t="str">
        <f t="shared" si="1"/>
        <v>PENDIENTE</v>
      </c>
      <c r="I6" s="4">
        <f t="shared" si="0"/>
        <v>0</v>
      </c>
    </row>
    <row r="7" spans="1:12" x14ac:dyDescent="0.25">
      <c r="A7" s="2">
        <v>44290</v>
      </c>
      <c r="B7" t="s">
        <v>241</v>
      </c>
      <c r="C7" s="4">
        <v>10000</v>
      </c>
      <c r="D7" s="12" t="s">
        <v>26</v>
      </c>
      <c r="E7" s="12" t="s">
        <v>11</v>
      </c>
      <c r="F7" s="12" t="s">
        <v>25</v>
      </c>
      <c r="H7" t="str">
        <f t="shared" si="1"/>
        <v>PENDIENTE</v>
      </c>
      <c r="I7" s="4">
        <f t="shared" si="0"/>
        <v>0</v>
      </c>
    </row>
    <row r="8" spans="1:12" x14ac:dyDescent="0.25">
      <c r="A8" s="2">
        <v>44333</v>
      </c>
      <c r="B8" t="s">
        <v>249</v>
      </c>
      <c r="C8" s="4">
        <v>10000</v>
      </c>
      <c r="D8" s="12" t="s">
        <v>26</v>
      </c>
      <c r="E8" s="12" t="s">
        <v>11</v>
      </c>
      <c r="F8" s="12" t="s">
        <v>25</v>
      </c>
      <c r="H8" t="str">
        <f t="shared" si="1"/>
        <v>PENDIENTE</v>
      </c>
      <c r="I8" s="4">
        <f t="shared" si="0"/>
        <v>0</v>
      </c>
    </row>
    <row r="9" spans="1:12" x14ac:dyDescent="0.25">
      <c r="A9" s="2">
        <v>44357</v>
      </c>
      <c r="B9" t="s">
        <v>281</v>
      </c>
      <c r="C9" s="4">
        <v>45000</v>
      </c>
      <c r="D9" s="12" t="s">
        <v>26</v>
      </c>
      <c r="E9" s="12" t="s">
        <v>11</v>
      </c>
      <c r="F9" s="12" t="s">
        <v>10</v>
      </c>
      <c r="H9" t="str">
        <f t="shared" si="1"/>
        <v>PENDIENTE</v>
      </c>
      <c r="I9" s="4">
        <f t="shared" si="0"/>
        <v>0</v>
      </c>
    </row>
    <row r="10" spans="1:12" x14ac:dyDescent="0.25">
      <c r="A10" s="2">
        <v>44408</v>
      </c>
      <c r="B10" t="s">
        <v>335</v>
      </c>
      <c r="C10" s="4">
        <v>80000</v>
      </c>
      <c r="D10" s="12" t="s">
        <v>26</v>
      </c>
      <c r="E10" s="12" t="s">
        <v>11</v>
      </c>
      <c r="F10" s="12" t="s">
        <v>25</v>
      </c>
      <c r="H10" t="str">
        <f t="shared" si="1"/>
        <v>PENDIENTE</v>
      </c>
      <c r="I10" s="4">
        <f t="shared" si="0"/>
        <v>0</v>
      </c>
    </row>
    <row r="11" spans="1:12" x14ac:dyDescent="0.25">
      <c r="A11" s="2">
        <v>44483</v>
      </c>
      <c r="B11" t="s">
        <v>815</v>
      </c>
      <c r="C11" s="4">
        <v>30000</v>
      </c>
      <c r="D11" s="12" t="s">
        <v>7</v>
      </c>
      <c r="F11" s="12" t="s">
        <v>25</v>
      </c>
      <c r="I11" s="4">
        <f t="shared" si="0"/>
        <v>30000</v>
      </c>
      <c r="L11" t="s">
        <v>618</v>
      </c>
    </row>
    <row r="12" spans="1:12" x14ac:dyDescent="0.25">
      <c r="A12" s="2">
        <v>44896</v>
      </c>
      <c r="B12" t="s">
        <v>811</v>
      </c>
      <c r="C12" s="4">
        <v>80000</v>
      </c>
      <c r="D12" s="12" t="s">
        <v>7</v>
      </c>
      <c r="F12" s="12" t="s">
        <v>229</v>
      </c>
      <c r="I12" s="4">
        <f t="shared" si="0"/>
        <v>80000</v>
      </c>
    </row>
    <row r="13" spans="1:12" x14ac:dyDescent="0.25">
      <c r="I13" s="4">
        <f t="shared" si="0"/>
        <v>0</v>
      </c>
    </row>
    <row r="14" spans="1:12" x14ac:dyDescent="0.25">
      <c r="I14" s="4">
        <f t="shared" si="0"/>
        <v>0</v>
      </c>
    </row>
    <row r="15" spans="1:12" x14ac:dyDescent="0.25">
      <c r="I15" s="4">
        <f t="shared" si="0"/>
        <v>0</v>
      </c>
    </row>
    <row r="16" spans="1:12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141" priority="6" operator="equal">
      <formula>"PAGADO"</formula>
    </cfRule>
    <cfRule type="cellIs" dxfId="140" priority="7" operator="equal">
      <formula>"PENDIENTE"</formula>
    </cfRule>
    <cfRule type="cellIs" dxfId="139" priority="8" operator="equal">
      <formula>"""PENDIENTE"""</formula>
    </cfRule>
  </conditionalFormatting>
  <conditionalFormatting sqref="E1:E1048576">
    <cfRule type="cellIs" dxfId="138" priority="4" operator="equal">
      <formula>"FACTURADO"</formula>
    </cfRule>
    <cfRule type="cellIs" dxfId="137" priority="5" operator="equal">
      <formula>"NO FACTURADO"</formula>
    </cfRule>
  </conditionalFormatting>
  <conditionalFormatting sqref="F1:F1048576">
    <cfRule type="cellIs" dxfId="136" priority="1" operator="equal">
      <formula>"DELIS"</formula>
    </cfRule>
    <cfRule type="cellIs" dxfId="135" priority="2" operator="equal">
      <formula>"CESAR"</formula>
    </cfRule>
    <cfRule type="cellIs" dxfId="134" priority="3" operator="equal">
      <formula>"OMAR"</formula>
    </cfRule>
  </conditionalFormatting>
  <hyperlinks>
    <hyperlink ref="K3" location="CLIENTES!A1" display="MENU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18500</v>
      </c>
      <c r="K2" s="11" t="s">
        <v>121</v>
      </c>
    </row>
    <row r="3" spans="1:11" x14ac:dyDescent="0.25">
      <c r="A3" s="2">
        <v>44260</v>
      </c>
      <c r="B3" t="s">
        <v>97</v>
      </c>
      <c r="C3" s="4">
        <v>14500</v>
      </c>
      <c r="D3" s="10" t="s">
        <v>7</v>
      </c>
      <c r="F3" t="s">
        <v>25</v>
      </c>
      <c r="I3" s="4">
        <f t="shared" si="0"/>
        <v>14500</v>
      </c>
    </row>
    <row r="4" spans="1:11" x14ac:dyDescent="0.25">
      <c r="A4" s="2">
        <v>44260</v>
      </c>
      <c r="B4" t="s">
        <v>98</v>
      </c>
      <c r="C4" s="4">
        <v>4000</v>
      </c>
      <c r="D4" s="10" t="s">
        <v>7</v>
      </c>
      <c r="F4" t="s">
        <v>25</v>
      </c>
      <c r="I4" s="4">
        <f t="shared" si="0"/>
        <v>4000</v>
      </c>
    </row>
    <row r="5" spans="1:11" x14ac:dyDescent="0.25">
      <c r="A5" t="s">
        <v>99</v>
      </c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133" priority="6" operator="equal">
      <formula>"PAGADO"</formula>
    </cfRule>
    <cfRule type="cellIs" dxfId="132" priority="7" operator="equal">
      <formula>"PENDIENTE"</formula>
    </cfRule>
    <cfRule type="cellIs" dxfId="131" priority="8" operator="equal">
      <formula>"""PENDIENTE"""</formula>
    </cfRule>
  </conditionalFormatting>
  <conditionalFormatting sqref="E1:E1048576">
    <cfRule type="cellIs" dxfId="130" priority="4" operator="equal">
      <formula>"FACTURADO"</formula>
    </cfRule>
    <cfRule type="cellIs" dxfId="129" priority="5" operator="equal">
      <formula>"NO FACTURADO"</formula>
    </cfRule>
  </conditionalFormatting>
  <conditionalFormatting sqref="F1:F1048576">
    <cfRule type="cellIs" dxfId="128" priority="1" operator="equal">
      <formula>"DELIS"</formula>
    </cfRule>
    <cfRule type="cellIs" dxfId="127" priority="2" operator="equal">
      <formula>"CESAR"</formula>
    </cfRule>
    <cfRule type="cellIs" dxfId="126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K71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13" t="s">
        <v>40</v>
      </c>
      <c r="B2" t="s">
        <v>21</v>
      </c>
      <c r="C2" s="4">
        <v>93000</v>
      </c>
      <c r="D2" s="10" t="s">
        <v>26</v>
      </c>
      <c r="E2" t="s">
        <v>27</v>
      </c>
      <c r="F2" t="s">
        <v>52</v>
      </c>
      <c r="H2" t="str">
        <f>IF(E:E="NO FACTURADO","PENDIENTE","AL DIA")</f>
        <v>AL DIA</v>
      </c>
      <c r="I2" s="4">
        <f t="shared" ref="I2:I65" si="0">IF(D2="PENDIENTE",C2,0)</f>
        <v>0</v>
      </c>
      <c r="J2" s="4">
        <f>SUM(I:I)</f>
        <v>898400</v>
      </c>
      <c r="K2" s="11" t="s">
        <v>121</v>
      </c>
    </row>
    <row r="3" spans="1:11" x14ac:dyDescent="0.25">
      <c r="A3" s="2">
        <v>44207</v>
      </c>
      <c r="B3" t="s">
        <v>46</v>
      </c>
      <c r="C3" s="4">
        <v>16000</v>
      </c>
      <c r="D3" s="10" t="s">
        <v>26</v>
      </c>
      <c r="E3" t="s">
        <v>27</v>
      </c>
      <c r="F3" t="s">
        <v>25</v>
      </c>
      <c r="H3" t="str">
        <f t="shared" ref="H3:H27" si="1">IF(E:E="NO FACTURADO","PENDIENTE","AL DIA")</f>
        <v>AL DIA</v>
      </c>
      <c r="I3" s="4">
        <f t="shared" si="0"/>
        <v>0</v>
      </c>
    </row>
    <row r="4" spans="1:11" x14ac:dyDescent="0.25">
      <c r="A4" s="2">
        <v>44208</v>
      </c>
      <c r="B4" t="s">
        <v>47</v>
      </c>
      <c r="C4" s="4">
        <v>20000</v>
      </c>
      <c r="D4" t="s">
        <v>26</v>
      </c>
      <c r="E4" t="s">
        <v>27</v>
      </c>
      <c r="F4" t="s">
        <v>25</v>
      </c>
      <c r="H4" t="str">
        <f t="shared" si="1"/>
        <v>AL DIA</v>
      </c>
      <c r="I4" s="4">
        <f t="shared" si="0"/>
        <v>0</v>
      </c>
    </row>
    <row r="5" spans="1:11" x14ac:dyDescent="0.25">
      <c r="A5" s="2">
        <v>44208</v>
      </c>
      <c r="B5" t="s">
        <v>50</v>
      </c>
      <c r="C5" s="4">
        <v>21000</v>
      </c>
      <c r="D5" t="s">
        <v>26</v>
      </c>
      <c r="E5" t="s">
        <v>27</v>
      </c>
      <c r="F5" t="s">
        <v>25</v>
      </c>
      <c r="H5" t="str">
        <f t="shared" si="1"/>
        <v>AL DIA</v>
      </c>
      <c r="I5" s="4">
        <f t="shared" si="0"/>
        <v>0</v>
      </c>
    </row>
    <row r="6" spans="1:11" x14ac:dyDescent="0.25">
      <c r="A6" s="2">
        <v>44208</v>
      </c>
      <c r="B6" t="s">
        <v>54</v>
      </c>
      <c r="C6" s="4">
        <v>6000</v>
      </c>
      <c r="D6" t="s">
        <v>26</v>
      </c>
      <c r="E6" t="s">
        <v>27</v>
      </c>
      <c r="F6" t="s">
        <v>25</v>
      </c>
      <c r="H6" t="str">
        <f t="shared" si="1"/>
        <v>AL DIA</v>
      </c>
      <c r="I6" s="4">
        <f t="shared" si="0"/>
        <v>0</v>
      </c>
    </row>
    <row r="7" spans="1:11" x14ac:dyDescent="0.25">
      <c r="A7" s="2">
        <v>44209</v>
      </c>
      <c r="B7" t="s">
        <v>51</v>
      </c>
      <c r="C7" s="4">
        <v>20000</v>
      </c>
      <c r="D7" t="s">
        <v>26</v>
      </c>
      <c r="E7" t="s">
        <v>53</v>
      </c>
      <c r="F7" t="s">
        <v>52</v>
      </c>
      <c r="H7" t="str">
        <f t="shared" si="1"/>
        <v>AL DIA</v>
      </c>
      <c r="I7" s="4">
        <f t="shared" si="0"/>
        <v>0</v>
      </c>
    </row>
    <row r="8" spans="1:11" x14ac:dyDescent="0.25">
      <c r="A8" s="2">
        <v>44214</v>
      </c>
      <c r="B8" t="s">
        <v>66</v>
      </c>
      <c r="C8" s="4">
        <v>17000</v>
      </c>
      <c r="D8" t="s">
        <v>26</v>
      </c>
      <c r="E8" t="s">
        <v>27</v>
      </c>
      <c r="F8" t="s">
        <v>25</v>
      </c>
      <c r="H8" t="str">
        <f t="shared" si="1"/>
        <v>AL DIA</v>
      </c>
      <c r="I8" s="4">
        <f t="shared" si="0"/>
        <v>0</v>
      </c>
    </row>
    <row r="9" spans="1:11" x14ac:dyDescent="0.25">
      <c r="A9" s="2">
        <v>44214</v>
      </c>
      <c r="B9" t="s">
        <v>67</v>
      </c>
      <c r="C9" s="4">
        <v>12000</v>
      </c>
      <c r="D9" t="s">
        <v>26</v>
      </c>
      <c r="E9" t="s">
        <v>27</v>
      </c>
      <c r="F9" t="s">
        <v>25</v>
      </c>
      <c r="H9" t="str">
        <f t="shared" si="1"/>
        <v>AL DIA</v>
      </c>
      <c r="I9" s="4">
        <f t="shared" si="0"/>
        <v>0</v>
      </c>
    </row>
    <row r="10" spans="1:11" x14ac:dyDescent="0.25">
      <c r="A10" s="2">
        <v>44215</v>
      </c>
      <c r="B10" t="s">
        <v>71</v>
      </c>
      <c r="C10" s="4">
        <v>3000</v>
      </c>
      <c r="D10" t="s">
        <v>26</v>
      </c>
      <c r="E10" t="s">
        <v>27</v>
      </c>
      <c r="F10" t="s">
        <v>25</v>
      </c>
      <c r="H10" t="str">
        <f t="shared" si="1"/>
        <v>AL DIA</v>
      </c>
      <c r="I10" s="4">
        <f t="shared" si="0"/>
        <v>0</v>
      </c>
    </row>
    <row r="11" spans="1:11" x14ac:dyDescent="0.25">
      <c r="A11" s="2">
        <v>44215</v>
      </c>
      <c r="B11" t="s">
        <v>72</v>
      </c>
      <c r="C11" s="4">
        <v>5000</v>
      </c>
      <c r="D11" t="s">
        <v>26</v>
      </c>
      <c r="E11" t="s">
        <v>27</v>
      </c>
      <c r="F11" t="s">
        <v>25</v>
      </c>
      <c r="H11" t="str">
        <f t="shared" si="1"/>
        <v>AL DIA</v>
      </c>
      <c r="I11" s="4">
        <f t="shared" si="0"/>
        <v>0</v>
      </c>
    </row>
    <row r="12" spans="1:11" x14ac:dyDescent="0.25">
      <c r="A12" s="2">
        <v>44215</v>
      </c>
      <c r="B12" t="s">
        <v>73</v>
      </c>
      <c r="C12" s="4">
        <v>40000</v>
      </c>
      <c r="D12" t="s">
        <v>26</v>
      </c>
      <c r="E12" t="s">
        <v>27</v>
      </c>
      <c r="F12" t="s">
        <v>25</v>
      </c>
      <c r="H12" t="str">
        <f t="shared" si="1"/>
        <v>AL DIA</v>
      </c>
      <c r="I12" s="4">
        <f t="shared" si="0"/>
        <v>0</v>
      </c>
    </row>
    <row r="13" spans="1:11" x14ac:dyDescent="0.25">
      <c r="A13" s="2">
        <v>44218</v>
      </c>
      <c r="B13" t="s">
        <v>328</v>
      </c>
      <c r="C13" s="4">
        <v>92500</v>
      </c>
      <c r="D13" t="s">
        <v>26</v>
      </c>
      <c r="E13" t="s">
        <v>27</v>
      </c>
      <c r="F13" t="s">
        <v>10</v>
      </c>
      <c r="H13" t="str">
        <f t="shared" si="1"/>
        <v>AL DIA</v>
      </c>
      <c r="I13" s="4">
        <f t="shared" si="0"/>
        <v>0</v>
      </c>
    </row>
    <row r="14" spans="1:11" x14ac:dyDescent="0.25">
      <c r="B14" t="s">
        <v>84</v>
      </c>
      <c r="C14" s="4">
        <v>30000</v>
      </c>
      <c r="D14" t="s">
        <v>26</v>
      </c>
      <c r="E14" t="s">
        <v>27</v>
      </c>
      <c r="F14" t="s">
        <v>10</v>
      </c>
      <c r="H14" t="str">
        <f t="shared" si="1"/>
        <v>AL DIA</v>
      </c>
      <c r="I14" s="4">
        <f t="shared" si="0"/>
        <v>0</v>
      </c>
    </row>
    <row r="15" spans="1:11" x14ac:dyDescent="0.25">
      <c r="A15" s="2">
        <v>44231</v>
      </c>
      <c r="B15" t="s">
        <v>95</v>
      </c>
      <c r="C15" s="4">
        <v>18500</v>
      </c>
      <c r="D15" t="s">
        <v>26</v>
      </c>
      <c r="E15" t="s">
        <v>27</v>
      </c>
      <c r="F15" t="s">
        <v>25</v>
      </c>
      <c r="H15" t="str">
        <f t="shared" si="1"/>
        <v>AL DIA</v>
      </c>
      <c r="I15" s="4">
        <f t="shared" si="0"/>
        <v>0</v>
      </c>
    </row>
    <row r="16" spans="1:11" x14ac:dyDescent="0.25">
      <c r="A16" s="2">
        <v>44236</v>
      </c>
      <c r="B16" t="s">
        <v>101</v>
      </c>
      <c r="C16" s="4">
        <v>25000</v>
      </c>
      <c r="D16" t="s">
        <v>26</v>
      </c>
      <c r="E16" t="s">
        <v>27</v>
      </c>
      <c r="F16" t="s">
        <v>25</v>
      </c>
      <c r="H16" t="str">
        <f t="shared" si="1"/>
        <v>AL DIA</v>
      </c>
      <c r="I16" s="4">
        <f t="shared" si="0"/>
        <v>0</v>
      </c>
    </row>
    <row r="17" spans="1:9" x14ac:dyDescent="0.25">
      <c r="A17" s="2">
        <v>44236</v>
      </c>
      <c r="B17" t="s">
        <v>102</v>
      </c>
      <c r="C17" s="4">
        <v>300000</v>
      </c>
      <c r="D17" t="s">
        <v>26</v>
      </c>
      <c r="E17" t="s">
        <v>27</v>
      </c>
      <c r="F17" t="s">
        <v>103</v>
      </c>
      <c r="H17" t="str">
        <f t="shared" si="1"/>
        <v>AL DIA</v>
      </c>
      <c r="I17" s="4">
        <f t="shared" si="0"/>
        <v>0</v>
      </c>
    </row>
    <row r="18" spans="1:9" x14ac:dyDescent="0.25">
      <c r="A18" s="2">
        <v>44257</v>
      </c>
      <c r="B18" t="s">
        <v>140</v>
      </c>
      <c r="C18" s="4">
        <v>7500</v>
      </c>
      <c r="D18" t="s">
        <v>26</v>
      </c>
      <c r="E18" t="s">
        <v>27</v>
      </c>
      <c r="F18" t="s">
        <v>25</v>
      </c>
      <c r="H18" t="str">
        <f t="shared" si="1"/>
        <v>AL DIA</v>
      </c>
      <c r="I18" s="4">
        <f t="shared" si="0"/>
        <v>0</v>
      </c>
    </row>
    <row r="19" spans="1:9" x14ac:dyDescent="0.25">
      <c r="A19" s="2">
        <v>44285</v>
      </c>
      <c r="B19" t="s">
        <v>199</v>
      </c>
      <c r="C19" s="4">
        <v>65000</v>
      </c>
      <c r="D19" t="s">
        <v>26</v>
      </c>
      <c r="E19" t="s">
        <v>27</v>
      </c>
      <c r="F19" t="s">
        <v>52</v>
      </c>
      <c r="H19" t="str">
        <f t="shared" si="1"/>
        <v>AL DIA</v>
      </c>
      <c r="I19" s="4">
        <f t="shared" si="0"/>
        <v>0</v>
      </c>
    </row>
    <row r="20" spans="1:9" x14ac:dyDescent="0.25">
      <c r="A20" s="2">
        <v>44285</v>
      </c>
      <c r="B20" t="s">
        <v>200</v>
      </c>
      <c r="C20" s="4">
        <v>31000</v>
      </c>
      <c r="D20" t="s">
        <v>26</v>
      </c>
      <c r="E20" t="s">
        <v>27</v>
      </c>
      <c r="F20" t="s">
        <v>52</v>
      </c>
      <c r="H20" t="str">
        <f t="shared" si="1"/>
        <v>AL DIA</v>
      </c>
      <c r="I20" s="4">
        <f t="shared" si="0"/>
        <v>0</v>
      </c>
    </row>
    <row r="21" spans="1:9" x14ac:dyDescent="0.25">
      <c r="A21" s="2">
        <v>44285</v>
      </c>
      <c r="B21" t="s">
        <v>201</v>
      </c>
      <c r="C21" s="4">
        <v>32000</v>
      </c>
      <c r="D21" t="s">
        <v>26</v>
      </c>
      <c r="E21" t="s">
        <v>27</v>
      </c>
      <c r="F21" t="s">
        <v>52</v>
      </c>
      <c r="H21" t="str">
        <f t="shared" si="1"/>
        <v>AL DIA</v>
      </c>
      <c r="I21" s="4">
        <f t="shared" si="0"/>
        <v>0</v>
      </c>
    </row>
    <row r="22" spans="1:9" x14ac:dyDescent="0.25">
      <c r="A22" s="2">
        <v>44285</v>
      </c>
      <c r="B22" t="s">
        <v>202</v>
      </c>
      <c r="C22" s="4">
        <v>5500</v>
      </c>
      <c r="D22" t="s">
        <v>26</v>
      </c>
      <c r="E22" t="s">
        <v>27</v>
      </c>
      <c r="F22" t="s">
        <v>52</v>
      </c>
      <c r="H22" t="str">
        <f t="shared" si="1"/>
        <v>AL DIA</v>
      </c>
      <c r="I22" s="4">
        <f t="shared" si="0"/>
        <v>0</v>
      </c>
    </row>
    <row r="23" spans="1:9" x14ac:dyDescent="0.25">
      <c r="A23" s="2">
        <v>44307</v>
      </c>
      <c r="B23" t="s">
        <v>228</v>
      </c>
      <c r="C23" s="4">
        <v>86000</v>
      </c>
      <c r="D23" t="s">
        <v>26</v>
      </c>
      <c r="E23" t="s">
        <v>27</v>
      </c>
      <c r="F23" t="s">
        <v>229</v>
      </c>
      <c r="H23" t="str">
        <f t="shared" si="1"/>
        <v>AL DIA</v>
      </c>
      <c r="I23" s="4">
        <f t="shared" si="0"/>
        <v>0</v>
      </c>
    </row>
    <row r="24" spans="1:9" x14ac:dyDescent="0.25">
      <c r="A24" s="2">
        <v>44308</v>
      </c>
      <c r="B24" t="s">
        <v>230</v>
      </c>
      <c r="C24" s="4">
        <v>25000</v>
      </c>
      <c r="D24" t="s">
        <v>26</v>
      </c>
      <c r="E24" t="s">
        <v>27</v>
      </c>
      <c r="F24" t="s">
        <v>25</v>
      </c>
      <c r="H24" t="str">
        <f t="shared" si="1"/>
        <v>AL DIA</v>
      </c>
      <c r="I24" s="4">
        <f t="shared" si="0"/>
        <v>0</v>
      </c>
    </row>
    <row r="25" spans="1:9" x14ac:dyDescent="0.25">
      <c r="A25" s="2">
        <v>44295</v>
      </c>
      <c r="B25" t="s">
        <v>280</v>
      </c>
      <c r="C25" s="4">
        <v>20000</v>
      </c>
      <c r="D25" t="s">
        <v>26</v>
      </c>
      <c r="E25" t="s">
        <v>11</v>
      </c>
      <c r="F25" t="s">
        <v>25</v>
      </c>
      <c r="H25" t="str">
        <f t="shared" si="1"/>
        <v>PENDIENTE</v>
      </c>
      <c r="I25" s="4">
        <f t="shared" si="0"/>
        <v>0</v>
      </c>
    </row>
    <row r="26" spans="1:9" x14ac:dyDescent="0.25">
      <c r="A26" s="2">
        <v>44369</v>
      </c>
      <c r="B26" t="s">
        <v>295</v>
      </c>
      <c r="C26" s="4">
        <v>57900</v>
      </c>
      <c r="D26" t="s">
        <v>26</v>
      </c>
      <c r="E26" t="s">
        <v>11</v>
      </c>
      <c r="F26" t="s">
        <v>25</v>
      </c>
      <c r="H26" t="str">
        <f t="shared" si="1"/>
        <v>PENDIENTE</v>
      </c>
      <c r="I26" s="4">
        <f t="shared" si="0"/>
        <v>0</v>
      </c>
    </row>
    <row r="27" spans="1:9" x14ac:dyDescent="0.25">
      <c r="A27" t="s">
        <v>310</v>
      </c>
      <c r="B27" t="s">
        <v>113</v>
      </c>
      <c r="C27" s="4">
        <v>22000</v>
      </c>
      <c r="D27" t="s">
        <v>26</v>
      </c>
      <c r="E27" t="s">
        <v>27</v>
      </c>
      <c r="F27" t="s">
        <v>25</v>
      </c>
      <c r="H27" t="str">
        <f t="shared" si="1"/>
        <v>AL DIA</v>
      </c>
      <c r="I27" s="4">
        <f t="shared" si="0"/>
        <v>0</v>
      </c>
    </row>
    <row r="28" spans="1:9" x14ac:dyDescent="0.25">
      <c r="A28" s="2">
        <v>44399</v>
      </c>
      <c r="B28" t="s">
        <v>323</v>
      </c>
      <c r="C28" s="4">
        <v>13500</v>
      </c>
      <c r="D28" t="s">
        <v>26</v>
      </c>
      <c r="E28" t="s">
        <v>27</v>
      </c>
      <c r="F28" t="s">
        <v>25</v>
      </c>
      <c r="H28" t="s">
        <v>7</v>
      </c>
      <c r="I28" s="4">
        <f t="shared" si="0"/>
        <v>0</v>
      </c>
    </row>
    <row r="29" spans="1:9" x14ac:dyDescent="0.25">
      <c r="A29" s="2">
        <v>44407</v>
      </c>
      <c r="B29" t="s">
        <v>341</v>
      </c>
      <c r="C29" s="4">
        <v>20000</v>
      </c>
      <c r="D29" t="s">
        <v>26</v>
      </c>
      <c r="E29" t="s">
        <v>27</v>
      </c>
      <c r="F29" t="s">
        <v>25</v>
      </c>
      <c r="I29" s="4">
        <f t="shared" si="0"/>
        <v>0</v>
      </c>
    </row>
    <row r="30" spans="1:9" x14ac:dyDescent="0.25">
      <c r="A30" s="2">
        <v>44473</v>
      </c>
      <c r="B30" t="s">
        <v>387</v>
      </c>
      <c r="C30" s="4">
        <v>30000</v>
      </c>
      <c r="D30" t="s">
        <v>26</v>
      </c>
      <c r="E30" t="s">
        <v>11</v>
      </c>
      <c r="F30" t="s">
        <v>25</v>
      </c>
      <c r="I30" s="4">
        <f t="shared" si="0"/>
        <v>0</v>
      </c>
    </row>
    <row r="31" spans="1:9" x14ac:dyDescent="0.25">
      <c r="A31" s="2">
        <v>44531</v>
      </c>
      <c r="B31" t="s">
        <v>438</v>
      </c>
      <c r="C31" s="4">
        <v>20000</v>
      </c>
      <c r="D31" t="s">
        <v>26</v>
      </c>
      <c r="E31" t="s">
        <v>11</v>
      </c>
      <c r="F31" t="s">
        <v>25</v>
      </c>
      <c r="I31" s="4">
        <f t="shared" si="0"/>
        <v>0</v>
      </c>
    </row>
    <row r="32" spans="1:9" x14ac:dyDescent="0.25">
      <c r="A32" s="2">
        <v>44550</v>
      </c>
      <c r="B32" t="s">
        <v>459</v>
      </c>
      <c r="C32" s="4">
        <v>103900</v>
      </c>
      <c r="D32" t="s">
        <v>7</v>
      </c>
      <c r="E32" t="s">
        <v>11</v>
      </c>
      <c r="F32" t="s">
        <v>25</v>
      </c>
      <c r="I32" s="4">
        <f t="shared" si="0"/>
        <v>103900</v>
      </c>
    </row>
    <row r="33" spans="1:9" x14ac:dyDescent="0.25">
      <c r="A33" s="2">
        <v>44551</v>
      </c>
      <c r="B33" t="s">
        <v>461</v>
      </c>
      <c r="C33" s="4">
        <v>60000</v>
      </c>
      <c r="D33" t="s">
        <v>7</v>
      </c>
      <c r="E33" t="s">
        <v>11</v>
      </c>
      <c r="F33" t="s">
        <v>25</v>
      </c>
      <c r="I33" s="4">
        <f t="shared" si="0"/>
        <v>60000</v>
      </c>
    </row>
    <row r="34" spans="1:9" x14ac:dyDescent="0.25">
      <c r="A34" s="2">
        <v>45146</v>
      </c>
      <c r="B34" t="s">
        <v>1065</v>
      </c>
      <c r="C34" s="4">
        <v>52000</v>
      </c>
      <c r="D34" t="s">
        <v>26</v>
      </c>
      <c r="F34" t="s">
        <v>25</v>
      </c>
      <c r="I34" s="4">
        <f t="shared" si="0"/>
        <v>0</v>
      </c>
    </row>
    <row r="35" spans="1:9" x14ac:dyDescent="0.25">
      <c r="A35" s="2">
        <v>45176</v>
      </c>
      <c r="B35" t="s">
        <v>486</v>
      </c>
      <c r="C35" s="4">
        <v>30000</v>
      </c>
      <c r="D35" t="s">
        <v>26</v>
      </c>
      <c r="F35" t="s">
        <v>25</v>
      </c>
      <c r="I35" s="4">
        <f t="shared" si="0"/>
        <v>0</v>
      </c>
    </row>
    <row r="36" spans="1:9" x14ac:dyDescent="0.25">
      <c r="A36" s="2">
        <v>45210</v>
      </c>
      <c r="B36" t="s">
        <v>1120</v>
      </c>
      <c r="C36" s="4">
        <v>104000</v>
      </c>
      <c r="D36" t="s">
        <v>7</v>
      </c>
      <c r="F36" t="s">
        <v>25</v>
      </c>
      <c r="I36" s="4">
        <f t="shared" si="0"/>
        <v>104000</v>
      </c>
    </row>
    <row r="37" spans="1:9" x14ac:dyDescent="0.25">
      <c r="A37" s="2">
        <v>45211</v>
      </c>
      <c r="B37" t="s">
        <v>1121</v>
      </c>
      <c r="C37" s="4">
        <v>167000</v>
      </c>
      <c r="D37" t="s">
        <v>7</v>
      </c>
      <c r="F37" t="s">
        <v>25</v>
      </c>
      <c r="I37" s="4">
        <f t="shared" si="0"/>
        <v>167000</v>
      </c>
    </row>
    <row r="38" spans="1:9" x14ac:dyDescent="0.25">
      <c r="A38" s="2">
        <v>45217</v>
      </c>
      <c r="B38" t="s">
        <v>1131</v>
      </c>
      <c r="C38" s="4">
        <v>42500</v>
      </c>
      <c r="D38" t="s">
        <v>7</v>
      </c>
      <c r="F38" t="s">
        <v>25</v>
      </c>
      <c r="I38" s="4">
        <f t="shared" si="0"/>
        <v>42500</v>
      </c>
    </row>
    <row r="39" spans="1:9" x14ac:dyDescent="0.25">
      <c r="B39" t="s">
        <v>1258</v>
      </c>
      <c r="C39" s="4">
        <v>110000</v>
      </c>
      <c r="D39" t="s">
        <v>7</v>
      </c>
      <c r="I39" s="4">
        <f t="shared" si="0"/>
        <v>110000</v>
      </c>
    </row>
    <row r="40" spans="1:9" x14ac:dyDescent="0.25">
      <c r="B40" t="s">
        <v>1136</v>
      </c>
      <c r="C40" s="4">
        <v>266000</v>
      </c>
      <c r="D40" t="s">
        <v>7</v>
      </c>
      <c r="I40" s="4">
        <f t="shared" si="0"/>
        <v>266000</v>
      </c>
    </row>
    <row r="41" spans="1:9" x14ac:dyDescent="0.25">
      <c r="A41" s="2">
        <v>45328</v>
      </c>
      <c r="B41" t="s">
        <v>1257</v>
      </c>
      <c r="C41" s="4">
        <v>45000</v>
      </c>
      <c r="D41" t="s">
        <v>7</v>
      </c>
      <c r="I41" s="4">
        <f t="shared" si="0"/>
        <v>45000</v>
      </c>
    </row>
    <row r="42" spans="1:9" x14ac:dyDescent="0.25">
      <c r="I42" s="4">
        <f t="shared" si="0"/>
        <v>0</v>
      </c>
    </row>
    <row r="43" spans="1:9" x14ac:dyDescent="0.25">
      <c r="I43" s="4">
        <f t="shared" si="0"/>
        <v>0</v>
      </c>
    </row>
    <row r="44" spans="1:9" x14ac:dyDescent="0.25">
      <c r="I44" s="4">
        <f t="shared" si="0"/>
        <v>0</v>
      </c>
    </row>
    <row r="45" spans="1:9" x14ac:dyDescent="0.25">
      <c r="I45" s="4">
        <f t="shared" si="0"/>
        <v>0</v>
      </c>
    </row>
    <row r="46" spans="1:9" x14ac:dyDescent="0.25">
      <c r="I46" s="4">
        <f t="shared" si="0"/>
        <v>0</v>
      </c>
    </row>
    <row r="47" spans="1:9" x14ac:dyDescent="0.25">
      <c r="I47" s="4">
        <f t="shared" si="0"/>
        <v>0</v>
      </c>
    </row>
    <row r="48" spans="1:9" x14ac:dyDescent="0.25">
      <c r="I48" s="4">
        <f t="shared" si="0"/>
        <v>0</v>
      </c>
    </row>
    <row r="49" spans="9:9" x14ac:dyDescent="0.25">
      <c r="I49" s="4">
        <f t="shared" si="0"/>
        <v>0</v>
      </c>
    </row>
    <row r="50" spans="9:9" x14ac:dyDescent="0.25">
      <c r="I50" s="4">
        <f t="shared" si="0"/>
        <v>0</v>
      </c>
    </row>
    <row r="51" spans="9:9" x14ac:dyDescent="0.25">
      <c r="I51" s="4">
        <f t="shared" si="0"/>
        <v>0</v>
      </c>
    </row>
    <row r="52" spans="9:9" x14ac:dyDescent="0.25">
      <c r="I52" s="4">
        <f t="shared" si="0"/>
        <v>0</v>
      </c>
    </row>
    <row r="53" spans="9:9" x14ac:dyDescent="0.25">
      <c r="I53" s="4">
        <f t="shared" si="0"/>
        <v>0</v>
      </c>
    </row>
    <row r="54" spans="9:9" x14ac:dyDescent="0.25">
      <c r="I54" s="4">
        <f t="shared" si="0"/>
        <v>0</v>
      </c>
    </row>
    <row r="55" spans="9:9" x14ac:dyDescent="0.25">
      <c r="I55" s="4">
        <f t="shared" si="0"/>
        <v>0</v>
      </c>
    </row>
    <row r="56" spans="9:9" x14ac:dyDescent="0.25">
      <c r="I56" s="4">
        <f t="shared" si="0"/>
        <v>0</v>
      </c>
    </row>
    <row r="57" spans="9:9" x14ac:dyDescent="0.25">
      <c r="I57" s="4">
        <f t="shared" si="0"/>
        <v>0</v>
      </c>
    </row>
    <row r="58" spans="9:9" x14ac:dyDescent="0.25">
      <c r="I58" s="4">
        <f t="shared" si="0"/>
        <v>0</v>
      </c>
    </row>
    <row r="59" spans="9:9" x14ac:dyDescent="0.25">
      <c r="I59" s="4">
        <f t="shared" si="0"/>
        <v>0</v>
      </c>
    </row>
    <row r="60" spans="9:9" x14ac:dyDescent="0.25">
      <c r="I60" s="4">
        <f t="shared" si="0"/>
        <v>0</v>
      </c>
    </row>
    <row r="61" spans="9:9" x14ac:dyDescent="0.25">
      <c r="I61" s="4">
        <f t="shared" si="0"/>
        <v>0</v>
      </c>
    </row>
    <row r="62" spans="9:9" x14ac:dyDescent="0.25">
      <c r="I62" s="4">
        <f t="shared" si="0"/>
        <v>0</v>
      </c>
    </row>
    <row r="63" spans="9:9" x14ac:dyDescent="0.25">
      <c r="I63" s="4">
        <f t="shared" si="0"/>
        <v>0</v>
      </c>
    </row>
    <row r="64" spans="9:9" x14ac:dyDescent="0.25">
      <c r="I64" s="4">
        <f t="shared" si="0"/>
        <v>0</v>
      </c>
    </row>
    <row r="65" spans="9:9" x14ac:dyDescent="0.25">
      <c r="I65" s="4">
        <f t="shared" si="0"/>
        <v>0</v>
      </c>
    </row>
    <row r="66" spans="9:9" x14ac:dyDescent="0.25">
      <c r="I66" s="4">
        <f t="shared" ref="I66:I71" si="2">IF(D66="PENDIENTE",C66,0)</f>
        <v>0</v>
      </c>
    </row>
    <row r="67" spans="9:9" x14ac:dyDescent="0.25">
      <c r="I67" s="4">
        <f t="shared" si="2"/>
        <v>0</v>
      </c>
    </row>
    <row r="68" spans="9:9" x14ac:dyDescent="0.25">
      <c r="I68" s="4">
        <f t="shared" si="2"/>
        <v>0</v>
      </c>
    </row>
    <row r="69" spans="9:9" x14ac:dyDescent="0.25">
      <c r="I69" s="4">
        <f t="shared" si="2"/>
        <v>0</v>
      </c>
    </row>
    <row r="70" spans="9:9" x14ac:dyDescent="0.25">
      <c r="I70" s="4">
        <f t="shared" si="2"/>
        <v>0</v>
      </c>
    </row>
    <row r="71" spans="9:9" x14ac:dyDescent="0.25">
      <c r="I71" s="4">
        <f t="shared" si="2"/>
        <v>0</v>
      </c>
    </row>
  </sheetData>
  <autoFilter ref="A1:F40"/>
  <conditionalFormatting sqref="D1:D1048576">
    <cfRule type="cellIs" dxfId="125" priority="9" operator="equal">
      <formula>"PAGADO"</formula>
    </cfRule>
    <cfRule type="cellIs" dxfId="124" priority="10" operator="equal">
      <formula>"PENDIENTE"</formula>
    </cfRule>
    <cfRule type="cellIs" dxfId="123" priority="11" operator="equal">
      <formula>"""PENDIENTE"""</formula>
    </cfRule>
  </conditionalFormatting>
  <conditionalFormatting sqref="E1:E1048576">
    <cfRule type="cellIs" dxfId="122" priority="3" operator="equal">
      <formula>"BOLETA"</formula>
    </cfRule>
    <cfRule type="cellIs" dxfId="121" priority="7" operator="equal">
      <formula>"FACTURADO"</formula>
    </cfRule>
    <cfRule type="cellIs" dxfId="120" priority="8" operator="equal">
      <formula>"NO FACTURADO"</formula>
    </cfRule>
  </conditionalFormatting>
  <conditionalFormatting sqref="F1:F1048576">
    <cfRule type="cellIs" dxfId="119" priority="1" operator="equal">
      <formula>"NATALIA"</formula>
    </cfRule>
    <cfRule type="cellIs" dxfId="118" priority="4" operator="equal">
      <formula>"DELIS"</formula>
    </cfRule>
    <cfRule type="cellIs" dxfId="117" priority="5" operator="equal">
      <formula>"CESAR"</formula>
    </cfRule>
    <cfRule type="cellIs" dxfId="116" priority="6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0" max="10" width="12.85546875" customWidth="1"/>
  </cols>
  <sheetData>
    <row r="1" spans="1:11" x14ac:dyDescent="0.25">
      <c r="A1" s="5" t="s">
        <v>1249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13">
        <v>44197</v>
      </c>
      <c r="B2" t="s">
        <v>21</v>
      </c>
      <c r="D2" s="10" t="s">
        <v>7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40000</v>
      </c>
      <c r="K2" s="11" t="s">
        <v>121</v>
      </c>
    </row>
    <row r="3" spans="1:11" x14ac:dyDescent="0.25">
      <c r="A3" s="2">
        <v>44207</v>
      </c>
      <c r="B3" t="s">
        <v>44</v>
      </c>
      <c r="C3" s="4">
        <v>8000</v>
      </c>
      <c r="D3" s="10" t="s">
        <v>26</v>
      </c>
      <c r="E3" t="s">
        <v>27</v>
      </c>
      <c r="F3" t="s">
        <v>52</v>
      </c>
      <c r="H3" t="str">
        <f t="shared" ref="H3:H16" si="1">IF(E:E="NO FACTURADO","PENDIENTE","AL DIA")</f>
        <v>AL DIA</v>
      </c>
      <c r="I3" s="4">
        <f t="shared" si="0"/>
        <v>0</v>
      </c>
    </row>
    <row r="4" spans="1:11" x14ac:dyDescent="0.25">
      <c r="A4" s="2">
        <v>44207</v>
      </c>
      <c r="B4" t="s">
        <v>41</v>
      </c>
      <c r="C4" s="4">
        <v>60000</v>
      </c>
      <c r="D4" s="10" t="s">
        <v>26</v>
      </c>
      <c r="E4" t="s">
        <v>27</v>
      </c>
      <c r="F4" t="s">
        <v>10</v>
      </c>
      <c r="H4" t="str">
        <f t="shared" si="1"/>
        <v>AL DIA</v>
      </c>
      <c r="I4" s="4">
        <f t="shared" si="0"/>
        <v>0</v>
      </c>
    </row>
    <row r="5" spans="1:11" x14ac:dyDescent="0.25">
      <c r="A5" s="2">
        <v>44207</v>
      </c>
      <c r="B5" t="s">
        <v>42</v>
      </c>
      <c r="C5" s="4">
        <v>275000</v>
      </c>
      <c r="D5" s="10" t="s">
        <v>26</v>
      </c>
      <c r="E5" t="s">
        <v>27</v>
      </c>
      <c r="F5" t="s">
        <v>10</v>
      </c>
      <c r="H5" t="str">
        <f t="shared" si="1"/>
        <v>AL DIA</v>
      </c>
      <c r="I5" s="4">
        <f t="shared" si="0"/>
        <v>0</v>
      </c>
    </row>
    <row r="6" spans="1:11" x14ac:dyDescent="0.25">
      <c r="A6" s="2">
        <v>44207</v>
      </c>
      <c r="B6" t="s">
        <v>43</v>
      </c>
      <c r="C6" s="4">
        <v>5000</v>
      </c>
      <c r="D6" s="10" t="s">
        <v>26</v>
      </c>
      <c r="E6" t="s">
        <v>27</v>
      </c>
      <c r="F6" t="s">
        <v>10</v>
      </c>
      <c r="H6" t="str">
        <f t="shared" si="1"/>
        <v>AL DIA</v>
      </c>
      <c r="I6" s="4">
        <f t="shared" si="0"/>
        <v>0</v>
      </c>
    </row>
    <row r="7" spans="1:11" x14ac:dyDescent="0.25">
      <c r="A7" s="2">
        <v>44208</v>
      </c>
      <c r="B7" t="s">
        <v>59</v>
      </c>
      <c r="C7" s="4">
        <v>60000</v>
      </c>
      <c r="D7" s="10" t="s">
        <v>26</v>
      </c>
      <c r="E7" t="s">
        <v>27</v>
      </c>
      <c r="F7" t="s">
        <v>10</v>
      </c>
      <c r="H7" t="str">
        <f t="shared" si="1"/>
        <v>AL DIA</v>
      </c>
      <c r="I7" s="4">
        <f t="shared" si="0"/>
        <v>0</v>
      </c>
    </row>
    <row r="8" spans="1:11" x14ac:dyDescent="0.25">
      <c r="A8" s="2">
        <v>44211</v>
      </c>
      <c r="B8" t="s">
        <v>55</v>
      </c>
      <c r="C8" s="4">
        <v>4000</v>
      </c>
      <c r="D8" s="10" t="s">
        <v>26</v>
      </c>
      <c r="E8" t="s">
        <v>27</v>
      </c>
      <c r="F8" t="s">
        <v>10</v>
      </c>
      <c r="H8" t="str">
        <f t="shared" si="1"/>
        <v>AL DIA</v>
      </c>
      <c r="I8" s="4">
        <f t="shared" si="0"/>
        <v>0</v>
      </c>
    </row>
    <row r="9" spans="1:11" x14ac:dyDescent="0.25">
      <c r="A9" s="2">
        <v>44211</v>
      </c>
      <c r="B9" t="s">
        <v>56</v>
      </c>
      <c r="C9" s="4">
        <v>49500</v>
      </c>
      <c r="D9" s="10" t="s">
        <v>26</v>
      </c>
      <c r="E9" t="s">
        <v>27</v>
      </c>
      <c r="F9" t="s">
        <v>10</v>
      </c>
      <c r="H9" t="str">
        <f t="shared" si="1"/>
        <v>AL DIA</v>
      </c>
      <c r="I9" s="4">
        <f t="shared" si="0"/>
        <v>0</v>
      </c>
    </row>
    <row r="10" spans="1:11" x14ac:dyDescent="0.25">
      <c r="A10" s="2">
        <v>44211</v>
      </c>
      <c r="B10" t="s">
        <v>57</v>
      </c>
      <c r="C10" s="4">
        <v>65000</v>
      </c>
      <c r="D10" s="10" t="s">
        <v>26</v>
      </c>
      <c r="E10" t="s">
        <v>27</v>
      </c>
      <c r="F10" t="s">
        <v>10</v>
      </c>
      <c r="H10" t="str">
        <f t="shared" si="1"/>
        <v>AL DIA</v>
      </c>
      <c r="I10" s="4">
        <f t="shared" si="0"/>
        <v>0</v>
      </c>
    </row>
    <row r="11" spans="1:11" x14ac:dyDescent="0.25">
      <c r="A11" s="2">
        <v>44211</v>
      </c>
      <c r="B11" t="s">
        <v>58</v>
      </c>
      <c r="C11" s="4">
        <v>103000</v>
      </c>
      <c r="D11" s="10" t="s">
        <v>26</v>
      </c>
      <c r="E11" t="s">
        <v>27</v>
      </c>
      <c r="F11" t="s">
        <v>10</v>
      </c>
      <c r="H11" t="str">
        <f t="shared" si="1"/>
        <v>AL DIA</v>
      </c>
      <c r="I11" s="4">
        <f t="shared" si="0"/>
        <v>0</v>
      </c>
    </row>
    <row r="12" spans="1:11" x14ac:dyDescent="0.25">
      <c r="A12" s="2">
        <v>44224</v>
      </c>
      <c r="B12" t="s">
        <v>77</v>
      </c>
      <c r="C12" s="4">
        <v>8000</v>
      </c>
      <c r="D12" s="10" t="s">
        <v>26</v>
      </c>
      <c r="E12" t="s">
        <v>27</v>
      </c>
      <c r="F12" t="s">
        <v>10</v>
      </c>
      <c r="H12" t="str">
        <f t="shared" si="1"/>
        <v>AL DIA</v>
      </c>
      <c r="I12" s="4">
        <f t="shared" si="0"/>
        <v>0</v>
      </c>
    </row>
    <row r="13" spans="1:11" x14ac:dyDescent="0.25">
      <c r="A13" s="2">
        <v>44224</v>
      </c>
      <c r="B13" t="s">
        <v>78</v>
      </c>
      <c r="C13" s="4">
        <v>74000</v>
      </c>
      <c r="D13" s="10" t="s">
        <v>26</v>
      </c>
      <c r="E13" t="s">
        <v>27</v>
      </c>
      <c r="F13" t="s">
        <v>10</v>
      </c>
      <c r="H13" t="str">
        <f t="shared" si="1"/>
        <v>AL DIA</v>
      </c>
      <c r="I13" s="4">
        <f t="shared" si="0"/>
        <v>0</v>
      </c>
    </row>
    <row r="14" spans="1:11" x14ac:dyDescent="0.25">
      <c r="A14" s="2">
        <v>44224</v>
      </c>
      <c r="B14" t="s">
        <v>79</v>
      </c>
      <c r="C14" s="4">
        <v>5600</v>
      </c>
      <c r="D14" s="10" t="s">
        <v>26</v>
      </c>
      <c r="E14" t="s">
        <v>27</v>
      </c>
      <c r="F14" t="s">
        <v>10</v>
      </c>
      <c r="H14" t="str">
        <f t="shared" si="1"/>
        <v>AL DIA</v>
      </c>
      <c r="I14" s="4">
        <f t="shared" si="0"/>
        <v>0</v>
      </c>
    </row>
    <row r="15" spans="1:11" x14ac:dyDescent="0.25">
      <c r="A15" s="2">
        <v>44224</v>
      </c>
      <c r="B15" t="s">
        <v>80</v>
      </c>
      <c r="C15" s="4">
        <v>6500</v>
      </c>
      <c r="D15" s="10" t="s">
        <v>26</v>
      </c>
      <c r="E15" t="s">
        <v>27</v>
      </c>
      <c r="F15" t="s">
        <v>10</v>
      </c>
      <c r="H15" t="str">
        <f t="shared" si="1"/>
        <v>AL DIA</v>
      </c>
      <c r="I15" s="4">
        <f t="shared" si="0"/>
        <v>0</v>
      </c>
      <c r="J15" s="4"/>
    </row>
    <row r="16" spans="1:11" x14ac:dyDescent="0.25">
      <c r="A16" s="2">
        <v>44229</v>
      </c>
      <c r="B16" t="s">
        <v>149</v>
      </c>
      <c r="C16" s="4">
        <v>24500</v>
      </c>
      <c r="D16" s="10" t="s">
        <v>26</v>
      </c>
      <c r="E16" t="s">
        <v>11</v>
      </c>
      <c r="F16" t="s">
        <v>25</v>
      </c>
      <c r="H16" t="str">
        <f t="shared" si="1"/>
        <v>PENDIENTE</v>
      </c>
      <c r="I16" s="4">
        <f t="shared" si="0"/>
        <v>0</v>
      </c>
    </row>
    <row r="17" spans="1:10" x14ac:dyDescent="0.25">
      <c r="A17" s="2">
        <v>44229</v>
      </c>
      <c r="B17" t="s">
        <v>150</v>
      </c>
      <c r="C17" s="4">
        <v>20000</v>
      </c>
      <c r="D17" s="10" t="s">
        <v>26</v>
      </c>
      <c r="E17" t="s">
        <v>11</v>
      </c>
      <c r="F17" t="s">
        <v>25</v>
      </c>
      <c r="I17" s="4">
        <f t="shared" si="0"/>
        <v>0</v>
      </c>
    </row>
    <row r="18" spans="1:10" x14ac:dyDescent="0.25">
      <c r="A18" s="2">
        <v>44230</v>
      </c>
      <c r="B18" t="s">
        <v>94</v>
      </c>
      <c r="C18" s="4">
        <v>18000</v>
      </c>
      <c r="D18" s="10" t="s">
        <v>26</v>
      </c>
      <c r="E18" t="s">
        <v>11</v>
      </c>
      <c r="F18" t="s">
        <v>10</v>
      </c>
      <c r="I18" s="4">
        <f t="shared" si="0"/>
        <v>0</v>
      </c>
    </row>
    <row r="19" spans="1:10" x14ac:dyDescent="0.25">
      <c r="A19" s="2">
        <v>44306</v>
      </c>
      <c r="B19" t="s">
        <v>227</v>
      </c>
      <c r="C19" s="4">
        <v>89000</v>
      </c>
      <c r="D19" s="10" t="s">
        <v>26</v>
      </c>
      <c r="E19" t="s">
        <v>27</v>
      </c>
      <c r="F19" t="s">
        <v>10</v>
      </c>
      <c r="I19" s="4">
        <f t="shared" si="0"/>
        <v>0</v>
      </c>
    </row>
    <row r="20" spans="1:10" x14ac:dyDescent="0.25">
      <c r="A20" s="2">
        <v>44445</v>
      </c>
      <c r="B20" t="s">
        <v>367</v>
      </c>
      <c r="C20" s="4">
        <v>25000</v>
      </c>
      <c r="D20" s="10" t="s">
        <v>26</v>
      </c>
      <c r="E20" t="s">
        <v>27</v>
      </c>
      <c r="F20" t="s">
        <v>10</v>
      </c>
      <c r="I20" s="4">
        <f t="shared" si="0"/>
        <v>0</v>
      </c>
    </row>
    <row r="21" spans="1:10" x14ac:dyDescent="0.25">
      <c r="A21" s="2">
        <v>44452</v>
      </c>
      <c r="B21" t="s">
        <v>219</v>
      </c>
      <c r="C21" s="4">
        <v>60000</v>
      </c>
      <c r="D21" s="10" t="s">
        <v>26</v>
      </c>
      <c r="E21" t="s">
        <v>11</v>
      </c>
      <c r="F21" t="s">
        <v>10</v>
      </c>
      <c r="I21" s="4">
        <f t="shared" si="0"/>
        <v>0</v>
      </c>
    </row>
    <row r="22" spans="1:10" x14ac:dyDescent="0.25">
      <c r="A22" s="2">
        <v>44482</v>
      </c>
      <c r="B22" t="s">
        <v>393</v>
      </c>
      <c r="C22" s="4">
        <v>36500</v>
      </c>
      <c r="D22" s="10" t="s">
        <v>26</v>
      </c>
      <c r="E22" t="s">
        <v>11</v>
      </c>
      <c r="F22" t="s">
        <v>25</v>
      </c>
      <c r="I22" s="4">
        <f t="shared" si="0"/>
        <v>0</v>
      </c>
    </row>
    <row r="23" spans="1:10" x14ac:dyDescent="0.25">
      <c r="A23" s="2">
        <v>44483</v>
      </c>
      <c r="B23" t="s">
        <v>396</v>
      </c>
      <c r="C23" s="4">
        <v>4500</v>
      </c>
      <c r="D23" s="10" t="s">
        <v>26</v>
      </c>
      <c r="I23" s="4">
        <f t="shared" si="0"/>
        <v>0</v>
      </c>
    </row>
    <row r="24" spans="1:10" x14ac:dyDescent="0.25">
      <c r="A24" s="2">
        <v>44488</v>
      </c>
      <c r="B24" t="s">
        <v>404</v>
      </c>
      <c r="C24" s="4">
        <v>6000</v>
      </c>
      <c r="D24" s="10" t="s">
        <v>26</v>
      </c>
      <c r="E24" t="s">
        <v>11</v>
      </c>
      <c r="F24" t="s">
        <v>25</v>
      </c>
      <c r="I24" s="4">
        <f t="shared" si="0"/>
        <v>0</v>
      </c>
    </row>
    <row r="25" spans="1:10" x14ac:dyDescent="0.25">
      <c r="A25" s="2">
        <v>44606</v>
      </c>
      <c r="B25" t="s">
        <v>537</v>
      </c>
      <c r="C25" s="4">
        <v>27000</v>
      </c>
      <c r="D25" s="10" t="s">
        <v>26</v>
      </c>
      <c r="E25" t="s">
        <v>11</v>
      </c>
      <c r="F25" t="s">
        <v>52</v>
      </c>
      <c r="I25" s="4">
        <f t="shared" si="0"/>
        <v>0</v>
      </c>
    </row>
    <row r="26" spans="1:10" x14ac:dyDescent="0.25">
      <c r="A26" s="2">
        <v>44641</v>
      </c>
      <c r="B26" t="s">
        <v>579</v>
      </c>
      <c r="C26" s="4">
        <v>15500</v>
      </c>
      <c r="D26" s="10" t="s">
        <v>26</v>
      </c>
      <c r="F26" t="s">
        <v>270</v>
      </c>
      <c r="I26" s="4">
        <f t="shared" si="0"/>
        <v>0</v>
      </c>
      <c r="J26" s="2">
        <v>44642</v>
      </c>
    </row>
    <row r="27" spans="1:10" x14ac:dyDescent="0.25">
      <c r="A27" s="2">
        <v>44782</v>
      </c>
      <c r="B27" t="s">
        <v>691</v>
      </c>
      <c r="C27" s="4">
        <v>361500</v>
      </c>
      <c r="D27" s="10" t="s">
        <v>26</v>
      </c>
      <c r="F27" t="s">
        <v>25</v>
      </c>
      <c r="I27" s="4">
        <f t="shared" si="0"/>
        <v>0</v>
      </c>
    </row>
    <row r="28" spans="1:10" x14ac:dyDescent="0.25">
      <c r="A28" s="2">
        <v>44858</v>
      </c>
      <c r="B28" t="s">
        <v>771</v>
      </c>
      <c r="C28" s="4">
        <v>45000</v>
      </c>
      <c r="D28" s="10" t="s">
        <v>26</v>
      </c>
      <c r="I28" s="4">
        <f t="shared" si="0"/>
        <v>0</v>
      </c>
    </row>
    <row r="29" spans="1:10" x14ac:dyDescent="0.25">
      <c r="A29" s="2">
        <v>44893</v>
      </c>
      <c r="B29" t="s">
        <v>806</v>
      </c>
      <c r="C29" s="4">
        <v>30000</v>
      </c>
      <c r="D29" s="10" t="s">
        <v>816</v>
      </c>
      <c r="F29" t="s">
        <v>664</v>
      </c>
      <c r="I29" s="4">
        <f t="shared" si="0"/>
        <v>0</v>
      </c>
    </row>
    <row r="30" spans="1:10" x14ac:dyDescent="0.25">
      <c r="A30" s="2">
        <v>45335</v>
      </c>
      <c r="B30" t="s">
        <v>1251</v>
      </c>
      <c r="C30" s="4">
        <v>166000</v>
      </c>
      <c r="D30" s="10" t="s">
        <v>26</v>
      </c>
      <c r="E30" t="s">
        <v>11</v>
      </c>
      <c r="I30" s="4">
        <f t="shared" si="0"/>
        <v>0</v>
      </c>
    </row>
    <row r="31" spans="1:10" x14ac:dyDescent="0.25">
      <c r="A31" s="2">
        <v>45348</v>
      </c>
      <c r="B31" t="s">
        <v>1270</v>
      </c>
      <c r="D31" s="10" t="s">
        <v>7</v>
      </c>
      <c r="I31" s="4">
        <f t="shared" si="0"/>
        <v>0</v>
      </c>
    </row>
    <row r="32" spans="1:10" x14ac:dyDescent="0.25">
      <c r="A32" s="2">
        <v>45362</v>
      </c>
      <c r="B32" t="s">
        <v>1282</v>
      </c>
      <c r="C32" s="4">
        <v>40000</v>
      </c>
      <c r="D32" s="10" t="s">
        <v>7</v>
      </c>
      <c r="I32" s="4">
        <f t="shared" si="0"/>
        <v>40000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>
    <sortState ref="A2:F40">
      <sortCondition ref="A1:A40"/>
    </sortState>
  </autoFilter>
  <conditionalFormatting sqref="D1:D1048576">
    <cfRule type="cellIs" dxfId="115" priority="6" operator="equal">
      <formula>"PAGADO"</formula>
    </cfRule>
    <cfRule type="cellIs" dxfId="114" priority="7" operator="equal">
      <formula>"PENDIENTE"</formula>
    </cfRule>
    <cfRule type="cellIs" dxfId="113" priority="8" operator="equal">
      <formula>"""PENDIENTE"""</formula>
    </cfRule>
  </conditionalFormatting>
  <conditionalFormatting sqref="E1:E1048576">
    <cfRule type="cellIs" dxfId="112" priority="4" operator="equal">
      <formula>"FACTURADO"</formula>
    </cfRule>
    <cfRule type="cellIs" dxfId="111" priority="5" operator="equal">
      <formula>"NO FACTURADO"</formula>
    </cfRule>
  </conditionalFormatting>
  <conditionalFormatting sqref="F1:F1048576">
    <cfRule type="cellIs" dxfId="110" priority="1" operator="equal">
      <formula>"DELIS"</formula>
    </cfRule>
    <cfRule type="cellIs" dxfId="109" priority="2" operator="equal">
      <formula>"CESAR"</formula>
    </cfRule>
    <cfRule type="cellIs" dxfId="108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44215</v>
      </c>
      <c r="B2" t="s">
        <v>68</v>
      </c>
      <c r="C2" s="4">
        <v>9000</v>
      </c>
      <c r="D2" s="10" t="s">
        <v>283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44215</v>
      </c>
      <c r="B3" t="s">
        <v>69</v>
      </c>
      <c r="C3" s="4">
        <v>4500</v>
      </c>
      <c r="D3" s="10" t="s">
        <v>283</v>
      </c>
      <c r="E3" t="s">
        <v>22</v>
      </c>
      <c r="F3" t="s">
        <v>25</v>
      </c>
      <c r="I3" s="4">
        <f t="shared" si="0"/>
        <v>0</v>
      </c>
    </row>
    <row r="4" spans="1:11" x14ac:dyDescent="0.25">
      <c r="A4" s="2">
        <v>44215</v>
      </c>
      <c r="B4" t="s">
        <v>70</v>
      </c>
      <c r="C4" s="4">
        <v>4000</v>
      </c>
      <c r="D4" s="10" t="s">
        <v>283</v>
      </c>
      <c r="E4" t="s">
        <v>22</v>
      </c>
      <c r="F4" t="s">
        <v>25</v>
      </c>
      <c r="I4" s="4">
        <f t="shared" si="0"/>
        <v>0</v>
      </c>
    </row>
    <row r="5" spans="1:11" x14ac:dyDescent="0.25">
      <c r="A5" s="2"/>
      <c r="B5" t="s">
        <v>20</v>
      </c>
      <c r="C5" s="4">
        <v>15000</v>
      </c>
      <c r="D5" s="10" t="s">
        <v>26</v>
      </c>
      <c r="E5" t="s">
        <v>22</v>
      </c>
      <c r="F5" t="s">
        <v>25</v>
      </c>
      <c r="I5" s="4">
        <f t="shared" si="0"/>
        <v>0</v>
      </c>
    </row>
    <row r="6" spans="1:11" x14ac:dyDescent="0.25">
      <c r="A6" s="2">
        <v>44613</v>
      </c>
      <c r="B6" t="s">
        <v>541</v>
      </c>
      <c r="C6" s="4">
        <v>75000</v>
      </c>
      <c r="D6" s="12" t="s">
        <v>26</v>
      </c>
      <c r="F6" s="12" t="s">
        <v>292</v>
      </c>
      <c r="I6" s="4">
        <f t="shared" si="0"/>
        <v>0</v>
      </c>
    </row>
    <row r="7" spans="1:11" x14ac:dyDescent="0.25">
      <c r="A7" s="2">
        <v>44742</v>
      </c>
      <c r="B7" t="s">
        <v>652</v>
      </c>
      <c r="C7" s="4">
        <v>34000</v>
      </c>
      <c r="D7" s="12" t="s">
        <v>157</v>
      </c>
      <c r="F7" s="12" t="s">
        <v>229</v>
      </c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>
    <sortState ref="A2:F40">
      <sortCondition ref="A1:A40"/>
    </sortState>
  </autoFilter>
  <conditionalFormatting sqref="D1:D1048576">
    <cfRule type="cellIs" dxfId="107" priority="6" operator="equal">
      <formula>"PAGADO"</formula>
    </cfRule>
    <cfRule type="cellIs" dxfId="106" priority="7" operator="equal">
      <formula>"PENDIENTE"</formula>
    </cfRule>
    <cfRule type="cellIs" dxfId="105" priority="8" operator="equal">
      <formula>"""PENDIENTE"""</formula>
    </cfRule>
  </conditionalFormatting>
  <conditionalFormatting sqref="E1:E1048576">
    <cfRule type="cellIs" dxfId="104" priority="4" operator="equal">
      <formula>"FACTURADO"</formula>
    </cfRule>
    <cfRule type="cellIs" dxfId="103" priority="5" operator="equal">
      <formula>"NO FACTURADO"</formula>
    </cfRule>
  </conditionalFormatting>
  <conditionalFormatting sqref="F1:F1048576">
    <cfRule type="cellIs" dxfId="102" priority="1" operator="equal">
      <formula>"DELIS"</formula>
    </cfRule>
    <cfRule type="cellIs" dxfId="101" priority="2" operator="equal">
      <formula>"CESAR"</formula>
    </cfRule>
    <cfRule type="cellIs" dxfId="100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M182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1" max="11" width="20.140625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 t="shared" ref="H2:H22" si="0">IF(E:E="NO FACTURADO","PENDIENTE","AL DIA")</f>
        <v>AL DIA</v>
      </c>
      <c r="I2" s="4">
        <f t="shared" ref="I2:I74" si="1">IF(D2="PENDIENTE",C2,0)</f>
        <v>0</v>
      </c>
      <c r="J2" s="4">
        <f>SUM(I:I)</f>
        <v>1244000</v>
      </c>
      <c r="K2" s="11" t="s">
        <v>121</v>
      </c>
    </row>
    <row r="3" spans="1:11" x14ac:dyDescent="0.25">
      <c r="A3" s="2">
        <v>44232</v>
      </c>
      <c r="B3" t="s">
        <v>96</v>
      </c>
      <c r="C3" s="4">
        <v>100000</v>
      </c>
      <c r="D3" s="10" t="s">
        <v>26</v>
      </c>
      <c r="E3" t="s">
        <v>11</v>
      </c>
      <c r="F3" t="s">
        <v>52</v>
      </c>
      <c r="H3" t="str">
        <f t="shared" si="0"/>
        <v>PENDIENTE</v>
      </c>
      <c r="I3" s="4">
        <f t="shared" si="1"/>
        <v>0</v>
      </c>
    </row>
    <row r="4" spans="1:11" x14ac:dyDescent="0.25">
      <c r="A4" s="2">
        <v>44232</v>
      </c>
      <c r="B4" t="s">
        <v>79</v>
      </c>
      <c r="C4" s="4">
        <v>8000</v>
      </c>
      <c r="D4" t="s">
        <v>26</v>
      </c>
      <c r="E4" t="s">
        <v>11</v>
      </c>
      <c r="F4" t="s">
        <v>25</v>
      </c>
      <c r="H4" t="str">
        <f t="shared" si="0"/>
        <v>PENDIENTE</v>
      </c>
      <c r="I4" s="4">
        <f t="shared" si="1"/>
        <v>0</v>
      </c>
    </row>
    <row r="5" spans="1:11" x14ac:dyDescent="0.25">
      <c r="A5" s="2">
        <v>44237</v>
      </c>
      <c r="B5" t="s">
        <v>107</v>
      </c>
      <c r="C5" s="4">
        <v>10000</v>
      </c>
      <c r="D5" s="12" t="s">
        <v>26</v>
      </c>
      <c r="E5" s="12" t="s">
        <v>11</v>
      </c>
      <c r="F5" s="12" t="s">
        <v>52</v>
      </c>
      <c r="H5" t="str">
        <f t="shared" si="0"/>
        <v>PENDIENTE</v>
      </c>
      <c r="I5" s="4">
        <f t="shared" si="1"/>
        <v>0</v>
      </c>
    </row>
    <row r="6" spans="1:11" x14ac:dyDescent="0.25">
      <c r="A6" s="2">
        <v>44239</v>
      </c>
      <c r="B6" t="s">
        <v>113</v>
      </c>
      <c r="C6" s="4">
        <v>22000</v>
      </c>
      <c r="D6" s="12" t="s">
        <v>26</v>
      </c>
      <c r="E6" s="12" t="s">
        <v>11</v>
      </c>
      <c r="F6" s="12" t="s">
        <v>25</v>
      </c>
      <c r="H6" t="str">
        <f t="shared" si="0"/>
        <v>PENDIENTE</v>
      </c>
      <c r="I6" s="4">
        <f t="shared" si="1"/>
        <v>0</v>
      </c>
    </row>
    <row r="7" spans="1:11" x14ac:dyDescent="0.25">
      <c r="A7" s="2">
        <v>44242</v>
      </c>
      <c r="B7" t="s">
        <v>119</v>
      </c>
      <c r="C7" s="4">
        <v>75000</v>
      </c>
      <c r="D7" s="12" t="s">
        <v>26</v>
      </c>
      <c r="E7" s="12" t="s">
        <v>11</v>
      </c>
      <c r="F7" s="12" t="s">
        <v>25</v>
      </c>
      <c r="H7" t="str">
        <f t="shared" si="0"/>
        <v>PENDIENTE</v>
      </c>
      <c r="I7" s="4">
        <f t="shared" si="1"/>
        <v>0</v>
      </c>
    </row>
    <row r="8" spans="1:11" x14ac:dyDescent="0.25">
      <c r="A8" s="2">
        <v>44244</v>
      </c>
      <c r="B8" t="s">
        <v>124</v>
      </c>
      <c r="C8" s="4">
        <v>9500</v>
      </c>
      <c r="D8" s="12" t="s">
        <v>26</v>
      </c>
      <c r="E8" s="12" t="s">
        <v>11</v>
      </c>
      <c r="F8" s="12" t="s">
        <v>25</v>
      </c>
      <c r="H8" t="str">
        <f t="shared" si="0"/>
        <v>PENDIENTE</v>
      </c>
      <c r="I8" s="4">
        <f t="shared" si="1"/>
        <v>0</v>
      </c>
    </row>
    <row r="9" spans="1:11" x14ac:dyDescent="0.25">
      <c r="A9" s="2">
        <v>44245</v>
      </c>
      <c r="B9" t="s">
        <v>129</v>
      </c>
      <c r="C9" s="4">
        <v>16500</v>
      </c>
      <c r="D9" s="12" t="s">
        <v>26</v>
      </c>
      <c r="E9" t="s">
        <v>11</v>
      </c>
      <c r="F9" t="s">
        <v>25</v>
      </c>
      <c r="H9" t="str">
        <f t="shared" si="0"/>
        <v>PENDIENTE</v>
      </c>
      <c r="I9" s="4">
        <f t="shared" si="1"/>
        <v>0</v>
      </c>
    </row>
    <row r="10" spans="1:11" x14ac:dyDescent="0.25">
      <c r="A10" s="2">
        <v>44253</v>
      </c>
      <c r="B10" t="s">
        <v>136</v>
      </c>
      <c r="C10" s="4">
        <v>62000</v>
      </c>
      <c r="D10" s="12" t="s">
        <v>26</v>
      </c>
      <c r="E10" t="s">
        <v>11</v>
      </c>
      <c r="F10" t="s">
        <v>103</v>
      </c>
      <c r="H10" t="str">
        <f t="shared" si="0"/>
        <v>PENDIENTE</v>
      </c>
      <c r="I10" s="4">
        <f t="shared" si="1"/>
        <v>0</v>
      </c>
    </row>
    <row r="11" spans="1:11" x14ac:dyDescent="0.25">
      <c r="A11" s="2">
        <v>44260</v>
      </c>
      <c r="B11" t="s">
        <v>155</v>
      </c>
      <c r="C11" s="4">
        <v>44000</v>
      </c>
      <c r="D11" s="12" t="s">
        <v>26</v>
      </c>
      <c r="E11" t="s">
        <v>11</v>
      </c>
      <c r="F11" t="s">
        <v>103</v>
      </c>
      <c r="H11" t="str">
        <f t="shared" si="0"/>
        <v>PENDIENTE</v>
      </c>
      <c r="I11" s="4">
        <f t="shared" si="1"/>
        <v>0</v>
      </c>
    </row>
    <row r="12" spans="1:11" x14ac:dyDescent="0.25">
      <c r="A12" s="2">
        <v>44271</v>
      </c>
      <c r="B12" t="s">
        <v>176</v>
      </c>
      <c r="C12" s="4">
        <v>5900</v>
      </c>
      <c r="D12" s="12" t="s">
        <v>26</v>
      </c>
      <c r="E12" t="s">
        <v>11</v>
      </c>
      <c r="F12" t="s">
        <v>52</v>
      </c>
      <c r="H12" t="str">
        <f t="shared" si="0"/>
        <v>PENDIENTE</v>
      </c>
      <c r="I12" s="4">
        <f t="shared" si="1"/>
        <v>0</v>
      </c>
    </row>
    <row r="13" spans="1:11" x14ac:dyDescent="0.25">
      <c r="A13" s="2">
        <v>44274</v>
      </c>
      <c r="B13" t="s">
        <v>178</v>
      </c>
      <c r="C13" s="4">
        <v>24000</v>
      </c>
      <c r="D13" s="12" t="s">
        <v>26</v>
      </c>
      <c r="E13" t="s">
        <v>11</v>
      </c>
      <c r="F13" t="s">
        <v>25</v>
      </c>
      <c r="H13" t="str">
        <f t="shared" si="0"/>
        <v>PENDIENTE</v>
      </c>
      <c r="I13" s="4">
        <f t="shared" si="1"/>
        <v>0</v>
      </c>
    </row>
    <row r="14" spans="1:11" x14ac:dyDescent="0.25">
      <c r="A14" s="2">
        <v>44279</v>
      </c>
      <c r="B14" t="s">
        <v>182</v>
      </c>
      <c r="C14" s="4">
        <v>220000</v>
      </c>
      <c r="D14" s="12" t="s">
        <v>26</v>
      </c>
      <c r="E14" t="s">
        <v>11</v>
      </c>
      <c r="F14" t="s">
        <v>25</v>
      </c>
      <c r="H14" t="str">
        <f t="shared" si="0"/>
        <v>PENDIENTE</v>
      </c>
      <c r="I14" s="4">
        <f t="shared" si="1"/>
        <v>0</v>
      </c>
    </row>
    <row r="15" spans="1:11" x14ac:dyDescent="0.25">
      <c r="A15" s="2">
        <v>44279</v>
      </c>
      <c r="B15" t="s">
        <v>181</v>
      </c>
      <c r="C15" s="4">
        <v>65000</v>
      </c>
      <c r="D15" s="12" t="s">
        <v>26</v>
      </c>
      <c r="E15" t="s">
        <v>11</v>
      </c>
      <c r="F15" t="s">
        <v>25</v>
      </c>
      <c r="H15" t="str">
        <f t="shared" si="0"/>
        <v>PENDIENTE</v>
      </c>
      <c r="I15" s="4">
        <f t="shared" si="1"/>
        <v>0</v>
      </c>
    </row>
    <row r="16" spans="1:11" x14ac:dyDescent="0.25">
      <c r="A16" s="2">
        <v>44279</v>
      </c>
      <c r="B16" t="s">
        <v>75</v>
      </c>
      <c r="C16" s="4">
        <v>32000</v>
      </c>
      <c r="D16" s="12" t="s">
        <v>26</v>
      </c>
      <c r="E16" t="s">
        <v>11</v>
      </c>
      <c r="F16" t="s">
        <v>25</v>
      </c>
      <c r="H16" t="str">
        <f t="shared" si="0"/>
        <v>PENDIENTE</v>
      </c>
      <c r="I16" s="4">
        <f t="shared" si="1"/>
        <v>0</v>
      </c>
    </row>
    <row r="17" spans="1:9" x14ac:dyDescent="0.25">
      <c r="A17" s="2">
        <v>44280</v>
      </c>
      <c r="B17" t="s">
        <v>185</v>
      </c>
      <c r="C17" s="4">
        <v>14000</v>
      </c>
      <c r="D17" s="12" t="s">
        <v>26</v>
      </c>
      <c r="E17" t="s">
        <v>11</v>
      </c>
      <c r="F17" t="s">
        <v>25</v>
      </c>
      <c r="H17" t="str">
        <f t="shared" si="0"/>
        <v>PENDIENTE</v>
      </c>
      <c r="I17" s="4">
        <f t="shared" si="1"/>
        <v>0</v>
      </c>
    </row>
    <row r="18" spans="1:9" x14ac:dyDescent="0.25">
      <c r="A18" s="2">
        <v>44284</v>
      </c>
      <c r="B18" t="s">
        <v>192</v>
      </c>
      <c r="C18" s="4">
        <v>65000</v>
      </c>
      <c r="D18" s="12" t="s">
        <v>26</v>
      </c>
      <c r="E18" t="s">
        <v>11</v>
      </c>
      <c r="F18" t="s">
        <v>52</v>
      </c>
      <c r="H18" t="str">
        <f t="shared" si="0"/>
        <v>PENDIENTE</v>
      </c>
      <c r="I18" s="4">
        <f t="shared" si="1"/>
        <v>0</v>
      </c>
    </row>
    <row r="19" spans="1:9" x14ac:dyDescent="0.25">
      <c r="A19" s="2">
        <v>44285</v>
      </c>
      <c r="B19" t="s">
        <v>208</v>
      </c>
      <c r="C19" s="4">
        <v>28000</v>
      </c>
      <c r="D19" s="12" t="s">
        <v>26</v>
      </c>
      <c r="E19" t="s">
        <v>11</v>
      </c>
      <c r="F19" t="s">
        <v>10</v>
      </c>
      <c r="H19" t="str">
        <f t="shared" si="0"/>
        <v>PENDIENTE</v>
      </c>
      <c r="I19" s="4">
        <f t="shared" si="1"/>
        <v>0</v>
      </c>
    </row>
    <row r="20" spans="1:9" x14ac:dyDescent="0.25">
      <c r="A20" s="2">
        <v>44309</v>
      </c>
      <c r="B20" t="s">
        <v>231</v>
      </c>
      <c r="C20" s="4">
        <v>78500</v>
      </c>
      <c r="D20" s="12" t="s">
        <v>26</v>
      </c>
      <c r="E20" t="s">
        <v>11</v>
      </c>
      <c r="F20" t="s">
        <v>25</v>
      </c>
      <c r="H20" t="str">
        <f t="shared" si="0"/>
        <v>PENDIENTE</v>
      </c>
      <c r="I20" s="4">
        <f t="shared" si="1"/>
        <v>0</v>
      </c>
    </row>
    <row r="21" spans="1:9" x14ac:dyDescent="0.25">
      <c r="A21" s="2">
        <v>44312</v>
      </c>
      <c r="B21" t="s">
        <v>234</v>
      </c>
      <c r="C21" s="4">
        <v>90000</v>
      </c>
      <c r="D21" s="12" t="s">
        <v>26</v>
      </c>
      <c r="E21" t="s">
        <v>11</v>
      </c>
      <c r="F21" t="s">
        <v>25</v>
      </c>
      <c r="H21" t="str">
        <f t="shared" si="0"/>
        <v>PENDIENTE</v>
      </c>
      <c r="I21" s="4">
        <f t="shared" si="1"/>
        <v>0</v>
      </c>
    </row>
    <row r="22" spans="1:9" x14ac:dyDescent="0.25">
      <c r="A22" s="2">
        <v>44313</v>
      </c>
      <c r="B22" t="s">
        <v>236</v>
      </c>
      <c r="C22" s="4">
        <v>50000</v>
      </c>
      <c r="D22" s="12" t="s">
        <v>26</v>
      </c>
      <c r="E22" t="s">
        <v>11</v>
      </c>
      <c r="F22" t="s">
        <v>25</v>
      </c>
      <c r="H22" t="str">
        <f t="shared" si="0"/>
        <v>PENDIENTE</v>
      </c>
      <c r="I22" s="4">
        <f t="shared" si="1"/>
        <v>0</v>
      </c>
    </row>
    <row r="23" spans="1:9" x14ac:dyDescent="0.25">
      <c r="A23" s="2">
        <v>44315</v>
      </c>
      <c r="B23" t="s">
        <v>238</v>
      </c>
      <c r="C23" s="4">
        <v>110000</v>
      </c>
      <c r="D23" s="12" t="s">
        <v>26</v>
      </c>
      <c r="E23" t="s">
        <v>11</v>
      </c>
      <c r="F23" t="s">
        <v>10</v>
      </c>
      <c r="H23" t="s">
        <v>7</v>
      </c>
      <c r="I23" s="4">
        <f t="shared" si="1"/>
        <v>0</v>
      </c>
    </row>
    <row r="24" spans="1:9" x14ac:dyDescent="0.25">
      <c r="A24" s="2">
        <v>44324</v>
      </c>
      <c r="B24" t="s">
        <v>243</v>
      </c>
      <c r="C24" s="4">
        <v>24000</v>
      </c>
      <c r="D24" s="12" t="s">
        <v>26</v>
      </c>
      <c r="E24" t="s">
        <v>11</v>
      </c>
      <c r="F24" t="s">
        <v>25</v>
      </c>
      <c r="H24" t="str">
        <f t="shared" ref="H24:H37" si="2">IF(E:E="NO FACTURADO","PENDIENTE","AL DIA")</f>
        <v>PENDIENTE</v>
      </c>
      <c r="I24" s="4">
        <f t="shared" si="1"/>
        <v>0</v>
      </c>
    </row>
    <row r="25" spans="1:9" x14ac:dyDescent="0.25">
      <c r="A25" s="2">
        <v>44335</v>
      </c>
      <c r="B25" t="s">
        <v>250</v>
      </c>
      <c r="C25" s="4">
        <v>19500</v>
      </c>
      <c r="D25" s="12" t="s">
        <v>26</v>
      </c>
      <c r="E25" t="s">
        <v>11</v>
      </c>
      <c r="F25" t="s">
        <v>25</v>
      </c>
      <c r="H25" t="str">
        <f t="shared" si="2"/>
        <v>PENDIENTE</v>
      </c>
      <c r="I25" s="4">
        <f t="shared" si="1"/>
        <v>0</v>
      </c>
    </row>
    <row r="26" spans="1:9" x14ac:dyDescent="0.25">
      <c r="A26" s="2">
        <v>44335</v>
      </c>
      <c r="B26" t="s">
        <v>251</v>
      </c>
      <c r="C26" s="4">
        <v>9000</v>
      </c>
      <c r="D26" s="12" t="s">
        <v>26</v>
      </c>
      <c r="E26" t="s">
        <v>11</v>
      </c>
      <c r="F26" t="s">
        <v>25</v>
      </c>
      <c r="H26" t="str">
        <f t="shared" si="2"/>
        <v>PENDIENTE</v>
      </c>
      <c r="I26" s="4">
        <f t="shared" si="1"/>
        <v>0</v>
      </c>
    </row>
    <row r="27" spans="1:9" x14ac:dyDescent="0.25">
      <c r="A27" s="2">
        <v>44342</v>
      </c>
      <c r="B27" t="s">
        <v>258</v>
      </c>
      <c r="C27" s="4">
        <v>22500</v>
      </c>
      <c r="D27" s="12" t="s">
        <v>26</v>
      </c>
      <c r="E27" t="s">
        <v>27</v>
      </c>
      <c r="F27" t="s">
        <v>52</v>
      </c>
      <c r="H27" t="str">
        <f t="shared" si="2"/>
        <v>AL DIA</v>
      </c>
      <c r="I27" s="4">
        <f t="shared" si="1"/>
        <v>0</v>
      </c>
    </row>
    <row r="28" spans="1:9" x14ac:dyDescent="0.25">
      <c r="A28" s="2">
        <v>44347</v>
      </c>
      <c r="B28" t="s">
        <v>260</v>
      </c>
      <c r="C28" s="4">
        <v>5000</v>
      </c>
      <c r="D28" s="12" t="s">
        <v>157</v>
      </c>
      <c r="E28" t="s">
        <v>27</v>
      </c>
      <c r="F28" t="s">
        <v>10</v>
      </c>
      <c r="H28" t="str">
        <f t="shared" si="2"/>
        <v>AL DIA</v>
      </c>
      <c r="I28" s="4">
        <f t="shared" si="1"/>
        <v>0</v>
      </c>
    </row>
    <row r="29" spans="1:9" x14ac:dyDescent="0.25">
      <c r="A29" s="2">
        <v>44351</v>
      </c>
      <c r="B29" t="s">
        <v>269</v>
      </c>
      <c r="C29" s="4">
        <v>19500</v>
      </c>
      <c r="D29" s="12" t="s">
        <v>26</v>
      </c>
      <c r="E29" t="s">
        <v>11</v>
      </c>
      <c r="F29" t="s">
        <v>270</v>
      </c>
      <c r="H29" t="str">
        <f t="shared" si="2"/>
        <v>PENDIENTE</v>
      </c>
      <c r="I29" s="4">
        <f t="shared" si="1"/>
        <v>0</v>
      </c>
    </row>
    <row r="30" spans="1:9" x14ac:dyDescent="0.25">
      <c r="A30" s="2">
        <v>44359</v>
      </c>
      <c r="B30" t="s">
        <v>286</v>
      </c>
      <c r="C30" s="4">
        <v>40000</v>
      </c>
      <c r="D30" s="12" t="s">
        <v>26</v>
      </c>
      <c r="E30" t="s">
        <v>27</v>
      </c>
      <c r="F30" t="s">
        <v>25</v>
      </c>
      <c r="H30" t="str">
        <f t="shared" si="2"/>
        <v>AL DIA</v>
      </c>
      <c r="I30" s="4">
        <f t="shared" si="1"/>
        <v>0</v>
      </c>
    </row>
    <row r="31" spans="1:9" x14ac:dyDescent="0.25">
      <c r="A31" s="2">
        <v>44363</v>
      </c>
      <c r="B31" t="s">
        <v>291</v>
      </c>
      <c r="C31" s="4">
        <v>36000</v>
      </c>
      <c r="D31" s="12" t="s">
        <v>26</v>
      </c>
      <c r="E31" t="s">
        <v>27</v>
      </c>
      <c r="F31" t="s">
        <v>292</v>
      </c>
      <c r="H31" t="str">
        <f t="shared" si="2"/>
        <v>AL DIA</v>
      </c>
      <c r="I31" s="4">
        <f t="shared" si="1"/>
        <v>0</v>
      </c>
    </row>
    <row r="32" spans="1:9" x14ac:dyDescent="0.25">
      <c r="A32" s="2">
        <v>44371</v>
      </c>
      <c r="B32" t="s">
        <v>297</v>
      </c>
      <c r="C32" s="4">
        <v>4000</v>
      </c>
      <c r="D32" s="12" t="s">
        <v>26</v>
      </c>
      <c r="E32" t="s">
        <v>27</v>
      </c>
      <c r="F32" t="s">
        <v>25</v>
      </c>
      <c r="H32" t="str">
        <f t="shared" si="2"/>
        <v>AL DIA</v>
      </c>
      <c r="I32" s="4">
        <f t="shared" si="1"/>
        <v>0</v>
      </c>
    </row>
    <row r="33" spans="1:9" x14ac:dyDescent="0.25">
      <c r="A33" s="2">
        <v>44383</v>
      </c>
      <c r="B33" t="s">
        <v>176</v>
      </c>
      <c r="C33" s="4">
        <v>6500</v>
      </c>
      <c r="D33" s="12" t="s">
        <v>26</v>
      </c>
      <c r="E33" t="s">
        <v>11</v>
      </c>
      <c r="F33" t="s">
        <v>292</v>
      </c>
      <c r="H33" t="str">
        <f t="shared" si="2"/>
        <v>PENDIENTE</v>
      </c>
      <c r="I33" s="4">
        <f t="shared" si="1"/>
        <v>0</v>
      </c>
    </row>
    <row r="34" spans="1:9" x14ac:dyDescent="0.25">
      <c r="A34" s="2">
        <v>44385</v>
      </c>
      <c r="B34" t="s">
        <v>308</v>
      </c>
      <c r="C34" s="4">
        <v>2500</v>
      </c>
      <c r="D34" s="12" t="s">
        <v>26</v>
      </c>
      <c r="E34" t="s">
        <v>11</v>
      </c>
      <c r="F34" t="s">
        <v>52</v>
      </c>
      <c r="H34" t="str">
        <f t="shared" si="2"/>
        <v>PENDIENTE</v>
      </c>
      <c r="I34" s="4">
        <f t="shared" si="1"/>
        <v>0</v>
      </c>
    </row>
    <row r="35" spans="1:9" x14ac:dyDescent="0.25">
      <c r="A35" s="2">
        <v>44397</v>
      </c>
      <c r="B35" t="s">
        <v>332</v>
      </c>
      <c r="C35" s="4">
        <v>105000</v>
      </c>
      <c r="D35" s="12" t="s">
        <v>26</v>
      </c>
      <c r="E35" t="s">
        <v>11</v>
      </c>
      <c r="F35" t="s">
        <v>25</v>
      </c>
      <c r="H35" t="str">
        <f t="shared" si="2"/>
        <v>PENDIENTE</v>
      </c>
      <c r="I35" s="4">
        <f t="shared" si="1"/>
        <v>0</v>
      </c>
    </row>
    <row r="36" spans="1:9" x14ac:dyDescent="0.25">
      <c r="A36" s="2">
        <v>44397</v>
      </c>
      <c r="B36" t="s">
        <v>313</v>
      </c>
      <c r="C36" s="4">
        <v>6500</v>
      </c>
      <c r="D36" s="12" t="s">
        <v>26</v>
      </c>
      <c r="E36" t="s">
        <v>11</v>
      </c>
      <c r="F36" t="s">
        <v>25</v>
      </c>
      <c r="H36" t="str">
        <f t="shared" si="2"/>
        <v>PENDIENTE</v>
      </c>
      <c r="I36" s="4">
        <f t="shared" si="1"/>
        <v>0</v>
      </c>
    </row>
    <row r="37" spans="1:9" x14ac:dyDescent="0.25">
      <c r="A37" s="2">
        <v>44399</v>
      </c>
      <c r="B37" t="s">
        <v>321</v>
      </c>
      <c r="C37" s="4">
        <v>20000</v>
      </c>
      <c r="D37" s="12" t="s">
        <v>26</v>
      </c>
      <c r="E37" t="s">
        <v>11</v>
      </c>
      <c r="F37" t="s">
        <v>25</v>
      </c>
      <c r="H37" t="str">
        <f t="shared" si="2"/>
        <v>PENDIENTE</v>
      </c>
      <c r="I37" s="4">
        <f t="shared" si="1"/>
        <v>0</v>
      </c>
    </row>
    <row r="38" spans="1:9" x14ac:dyDescent="0.25">
      <c r="A38" s="2">
        <v>44399</v>
      </c>
      <c r="B38" t="s">
        <v>322</v>
      </c>
      <c r="C38" s="4">
        <v>24000</v>
      </c>
      <c r="D38" s="12" t="s">
        <v>26</v>
      </c>
      <c r="E38" t="s">
        <v>11</v>
      </c>
      <c r="F38" t="s">
        <v>25</v>
      </c>
      <c r="I38" s="4">
        <f t="shared" si="1"/>
        <v>0</v>
      </c>
    </row>
    <row r="39" spans="1:9" x14ac:dyDescent="0.25">
      <c r="A39" s="2">
        <v>44404</v>
      </c>
      <c r="B39" t="s">
        <v>327</v>
      </c>
      <c r="C39" s="4">
        <v>34000</v>
      </c>
      <c r="D39" s="12" t="s">
        <v>26</v>
      </c>
      <c r="E39" t="s">
        <v>11</v>
      </c>
      <c r="F39" t="s">
        <v>25</v>
      </c>
      <c r="I39" s="4">
        <f t="shared" si="1"/>
        <v>0</v>
      </c>
    </row>
    <row r="40" spans="1:9" x14ac:dyDescent="0.25">
      <c r="A40" s="2">
        <v>44406</v>
      </c>
      <c r="B40" t="s">
        <v>333</v>
      </c>
      <c r="C40" s="4">
        <v>58500</v>
      </c>
      <c r="D40" s="12" t="s">
        <v>26</v>
      </c>
      <c r="E40" t="s">
        <v>11</v>
      </c>
      <c r="F40" t="s">
        <v>25</v>
      </c>
      <c r="I40" s="4">
        <f t="shared" si="1"/>
        <v>0</v>
      </c>
    </row>
    <row r="41" spans="1:9" x14ac:dyDescent="0.25">
      <c r="A41" s="2">
        <v>44414</v>
      </c>
      <c r="B41" t="s">
        <v>343</v>
      </c>
      <c r="C41" s="4">
        <v>15000</v>
      </c>
      <c r="D41" s="12" t="s">
        <v>26</v>
      </c>
      <c r="E41" t="s">
        <v>11</v>
      </c>
      <c r="F41" t="s">
        <v>25</v>
      </c>
      <c r="I41" s="4">
        <f t="shared" si="1"/>
        <v>0</v>
      </c>
    </row>
    <row r="42" spans="1:9" x14ac:dyDescent="0.25">
      <c r="A42" s="2">
        <v>44417</v>
      </c>
      <c r="B42" t="s">
        <v>344</v>
      </c>
      <c r="C42" s="4">
        <v>78000</v>
      </c>
      <c r="D42" s="12" t="s">
        <v>26</v>
      </c>
      <c r="E42" t="s">
        <v>11</v>
      </c>
      <c r="F42" t="s">
        <v>25</v>
      </c>
      <c r="I42" s="4">
        <f t="shared" si="1"/>
        <v>0</v>
      </c>
    </row>
    <row r="43" spans="1:9" x14ac:dyDescent="0.25">
      <c r="A43" s="2">
        <v>44431</v>
      </c>
      <c r="B43" t="s">
        <v>354</v>
      </c>
      <c r="C43" s="4">
        <v>50000</v>
      </c>
      <c r="D43" s="12" t="s">
        <v>26</v>
      </c>
      <c r="E43" t="s">
        <v>11</v>
      </c>
      <c r="F43" t="s">
        <v>25</v>
      </c>
      <c r="I43" s="4">
        <f t="shared" si="1"/>
        <v>0</v>
      </c>
    </row>
    <row r="44" spans="1:9" x14ac:dyDescent="0.25">
      <c r="A44" s="2">
        <v>44440</v>
      </c>
      <c r="B44" t="s">
        <v>362</v>
      </c>
      <c r="C44" s="4">
        <v>67000</v>
      </c>
      <c r="D44" s="12" t="s">
        <v>26</v>
      </c>
      <c r="E44" t="s">
        <v>53</v>
      </c>
      <c r="F44" t="s">
        <v>25</v>
      </c>
      <c r="I44" s="4">
        <f t="shared" si="1"/>
        <v>0</v>
      </c>
    </row>
    <row r="45" spans="1:9" x14ac:dyDescent="0.25">
      <c r="A45" s="2">
        <v>44448</v>
      </c>
      <c r="B45" t="s">
        <v>374</v>
      </c>
      <c r="C45" s="4">
        <v>5000</v>
      </c>
      <c r="D45" s="12" t="s">
        <v>26</v>
      </c>
      <c r="E45" t="s">
        <v>53</v>
      </c>
      <c r="F45" t="s">
        <v>25</v>
      </c>
      <c r="I45" s="4">
        <f t="shared" si="1"/>
        <v>0</v>
      </c>
    </row>
    <row r="46" spans="1:9" x14ac:dyDescent="0.25">
      <c r="A46" s="2">
        <v>44463</v>
      </c>
      <c r="B46" t="s">
        <v>381</v>
      </c>
      <c r="C46" s="4">
        <v>16000</v>
      </c>
      <c r="D46" s="12" t="s">
        <v>26</v>
      </c>
      <c r="E46" t="s">
        <v>53</v>
      </c>
      <c r="F46" t="s">
        <v>25</v>
      </c>
      <c r="I46" s="4">
        <f t="shared" si="1"/>
        <v>0</v>
      </c>
    </row>
    <row r="47" spans="1:9" x14ac:dyDescent="0.25">
      <c r="A47" s="2">
        <v>44481</v>
      </c>
      <c r="B47" t="s">
        <v>391</v>
      </c>
      <c r="C47" s="4">
        <v>58500</v>
      </c>
      <c r="D47" s="12" t="s">
        <v>26</v>
      </c>
      <c r="E47" t="s">
        <v>11</v>
      </c>
      <c r="F47" t="s">
        <v>25</v>
      </c>
      <c r="I47" s="4">
        <f t="shared" si="1"/>
        <v>0</v>
      </c>
    </row>
    <row r="48" spans="1:9" x14ac:dyDescent="0.25">
      <c r="A48" s="2">
        <v>44487</v>
      </c>
      <c r="B48" t="s">
        <v>401</v>
      </c>
      <c r="C48" s="4">
        <v>14000</v>
      </c>
      <c r="D48" s="12" t="s">
        <v>26</v>
      </c>
      <c r="E48" t="s">
        <v>11</v>
      </c>
      <c r="F48" t="s">
        <v>25</v>
      </c>
      <c r="I48" s="4">
        <f t="shared" si="1"/>
        <v>0</v>
      </c>
    </row>
    <row r="49" spans="1:9" x14ac:dyDescent="0.25">
      <c r="A49" s="2">
        <v>44495</v>
      </c>
      <c r="B49" t="s">
        <v>407</v>
      </c>
      <c r="C49" s="4">
        <v>220000</v>
      </c>
      <c r="D49" s="12" t="s">
        <v>26</v>
      </c>
      <c r="E49" t="s">
        <v>11</v>
      </c>
      <c r="F49" t="s">
        <v>25</v>
      </c>
      <c r="I49" s="4">
        <f t="shared" si="1"/>
        <v>0</v>
      </c>
    </row>
    <row r="50" spans="1:9" x14ac:dyDescent="0.25">
      <c r="A50" s="2">
        <v>44495</v>
      </c>
      <c r="B50" t="s">
        <v>408</v>
      </c>
      <c r="C50" s="4">
        <v>75000</v>
      </c>
      <c r="D50" s="12" t="s">
        <v>26</v>
      </c>
      <c r="E50" t="s">
        <v>11</v>
      </c>
      <c r="F50" t="s">
        <v>25</v>
      </c>
      <c r="I50" s="4">
        <f t="shared" si="1"/>
        <v>0</v>
      </c>
    </row>
    <row r="51" spans="1:9" x14ac:dyDescent="0.25">
      <c r="A51" s="2">
        <v>44516</v>
      </c>
      <c r="B51" t="s">
        <v>423</v>
      </c>
      <c r="C51" s="4">
        <v>25000</v>
      </c>
      <c r="D51" s="12" t="s">
        <v>26</v>
      </c>
      <c r="E51" t="s">
        <v>11</v>
      </c>
      <c r="F51" t="s">
        <v>25</v>
      </c>
      <c r="I51" s="4">
        <f t="shared" si="1"/>
        <v>0</v>
      </c>
    </row>
    <row r="52" spans="1:9" x14ac:dyDescent="0.25">
      <c r="A52" s="2">
        <v>44517</v>
      </c>
      <c r="B52" t="s">
        <v>424</v>
      </c>
      <c r="C52" s="4">
        <v>33000</v>
      </c>
      <c r="D52" s="12" t="s">
        <v>26</v>
      </c>
      <c r="E52" t="s">
        <v>11</v>
      </c>
      <c r="F52" t="s">
        <v>25</v>
      </c>
      <c r="I52" s="4">
        <f t="shared" si="1"/>
        <v>0</v>
      </c>
    </row>
    <row r="53" spans="1:9" x14ac:dyDescent="0.25">
      <c r="A53" s="2">
        <v>44519</v>
      </c>
      <c r="B53" t="s">
        <v>427</v>
      </c>
      <c r="C53" s="4">
        <v>88000</v>
      </c>
      <c r="D53" s="12" t="s">
        <v>26</v>
      </c>
      <c r="E53" t="s">
        <v>11</v>
      </c>
      <c r="F53" t="s">
        <v>25</v>
      </c>
      <c r="I53" s="4">
        <f t="shared" si="1"/>
        <v>0</v>
      </c>
    </row>
    <row r="54" spans="1:9" x14ac:dyDescent="0.25">
      <c r="A54" s="2">
        <v>44523</v>
      </c>
      <c r="B54" t="s">
        <v>428</v>
      </c>
      <c r="C54" s="4">
        <v>75000</v>
      </c>
      <c r="D54" s="12" t="s">
        <v>26</v>
      </c>
      <c r="E54" t="s">
        <v>11</v>
      </c>
      <c r="F54" t="s">
        <v>25</v>
      </c>
      <c r="I54" s="4">
        <f t="shared" si="1"/>
        <v>0</v>
      </c>
    </row>
    <row r="55" spans="1:9" x14ac:dyDescent="0.25">
      <c r="A55" s="2">
        <v>44539</v>
      </c>
      <c r="B55" t="s">
        <v>446</v>
      </c>
      <c r="C55" s="4">
        <v>31000</v>
      </c>
      <c r="D55" s="12" t="s">
        <v>26</v>
      </c>
      <c r="E55" t="s">
        <v>11</v>
      </c>
      <c r="F55" t="s">
        <v>25</v>
      </c>
      <c r="I55" s="4">
        <f t="shared" si="1"/>
        <v>0</v>
      </c>
    </row>
    <row r="56" spans="1:9" x14ac:dyDescent="0.25">
      <c r="A56" s="2">
        <v>44553</v>
      </c>
      <c r="B56" t="s">
        <v>464</v>
      </c>
      <c r="C56" s="4">
        <v>60000</v>
      </c>
      <c r="D56" s="12" t="s">
        <v>26</v>
      </c>
      <c r="E56" t="s">
        <v>11</v>
      </c>
      <c r="F56" t="s">
        <v>25</v>
      </c>
      <c r="I56" s="4">
        <f t="shared" si="1"/>
        <v>0</v>
      </c>
    </row>
    <row r="57" spans="1:9" x14ac:dyDescent="0.25">
      <c r="A57" s="2">
        <v>44557</v>
      </c>
      <c r="B57" t="s">
        <v>466</v>
      </c>
      <c r="C57" s="4">
        <v>17000</v>
      </c>
      <c r="D57" s="12" t="s">
        <v>26</v>
      </c>
      <c r="E57" t="s">
        <v>11</v>
      </c>
      <c r="F57" t="s">
        <v>52</v>
      </c>
      <c r="I57" s="4">
        <f t="shared" si="1"/>
        <v>0</v>
      </c>
    </row>
    <row r="58" spans="1:9" x14ac:dyDescent="0.25">
      <c r="A58" s="2">
        <v>44571</v>
      </c>
      <c r="B58" t="s">
        <v>176</v>
      </c>
      <c r="C58" s="4">
        <v>7500</v>
      </c>
      <c r="D58" s="12" t="s">
        <v>26</v>
      </c>
      <c r="E58" t="s">
        <v>11</v>
      </c>
      <c r="F58" t="s">
        <v>25</v>
      </c>
      <c r="I58" s="4">
        <f t="shared" si="1"/>
        <v>0</v>
      </c>
    </row>
    <row r="59" spans="1:9" x14ac:dyDescent="0.25">
      <c r="A59" s="2">
        <v>44587</v>
      </c>
      <c r="B59" t="s">
        <v>517</v>
      </c>
      <c r="C59" s="4">
        <v>30000</v>
      </c>
      <c r="D59" s="12" t="s">
        <v>26</v>
      </c>
      <c r="E59" t="s">
        <v>11</v>
      </c>
      <c r="F59" t="s">
        <v>25</v>
      </c>
      <c r="I59" s="4">
        <f t="shared" si="1"/>
        <v>0</v>
      </c>
    </row>
    <row r="60" spans="1:9" x14ac:dyDescent="0.25">
      <c r="A60" s="2">
        <v>44593</v>
      </c>
      <c r="B60" t="s">
        <v>523</v>
      </c>
      <c r="C60" s="4">
        <v>65000</v>
      </c>
      <c r="D60" s="12" t="s">
        <v>26</v>
      </c>
      <c r="E60" t="s">
        <v>11</v>
      </c>
      <c r="F60" t="s">
        <v>10</v>
      </c>
      <c r="I60" s="4">
        <f t="shared" si="1"/>
        <v>0</v>
      </c>
    </row>
    <row r="61" spans="1:9" x14ac:dyDescent="0.25">
      <c r="A61" s="2">
        <v>44609</v>
      </c>
      <c r="B61" t="s">
        <v>539</v>
      </c>
      <c r="C61" s="4">
        <v>16500</v>
      </c>
      <c r="D61" s="12" t="s">
        <v>26</v>
      </c>
      <c r="E61" s="12" t="s">
        <v>11</v>
      </c>
      <c r="F61" s="12" t="s">
        <v>10</v>
      </c>
      <c r="I61" s="4">
        <f t="shared" si="1"/>
        <v>0</v>
      </c>
    </row>
    <row r="62" spans="1:9" x14ac:dyDescent="0.25">
      <c r="A62" s="2">
        <v>44637</v>
      </c>
      <c r="B62" s="21" t="s">
        <v>562</v>
      </c>
      <c r="C62" s="4">
        <v>4000</v>
      </c>
      <c r="D62" s="12" t="s">
        <v>26</v>
      </c>
      <c r="E62" s="12" t="s">
        <v>11</v>
      </c>
      <c r="F62" s="12" t="s">
        <v>52</v>
      </c>
      <c r="I62" s="4">
        <f t="shared" si="1"/>
        <v>0</v>
      </c>
    </row>
    <row r="63" spans="1:9" x14ac:dyDescent="0.25">
      <c r="A63" s="2">
        <v>44637</v>
      </c>
      <c r="B63" t="s">
        <v>563</v>
      </c>
      <c r="C63" s="4">
        <v>8000</v>
      </c>
      <c r="D63" s="12" t="s">
        <v>7</v>
      </c>
      <c r="E63" s="12" t="s">
        <v>11</v>
      </c>
      <c r="F63" s="12" t="s">
        <v>52</v>
      </c>
      <c r="I63" s="4">
        <f t="shared" si="1"/>
        <v>8000</v>
      </c>
    </row>
    <row r="64" spans="1:9" x14ac:dyDescent="0.25">
      <c r="A64" s="2">
        <v>44638</v>
      </c>
      <c r="B64" t="s">
        <v>566</v>
      </c>
      <c r="C64" s="4">
        <v>35000</v>
      </c>
      <c r="D64" s="12" t="s">
        <v>7</v>
      </c>
      <c r="E64" s="12" t="s">
        <v>11</v>
      </c>
      <c r="F64" s="12" t="s">
        <v>292</v>
      </c>
      <c r="I64" s="4">
        <f t="shared" si="1"/>
        <v>35000</v>
      </c>
    </row>
    <row r="65" spans="1:9" x14ac:dyDescent="0.25">
      <c r="A65" s="2">
        <v>44638</v>
      </c>
      <c r="B65" t="s">
        <v>567</v>
      </c>
      <c r="C65" s="4">
        <v>3500</v>
      </c>
      <c r="D65" s="12" t="s">
        <v>7</v>
      </c>
      <c r="E65" s="12" t="s">
        <v>11</v>
      </c>
      <c r="F65" s="12" t="s">
        <v>52</v>
      </c>
      <c r="I65" s="4">
        <f t="shared" si="1"/>
        <v>3500</v>
      </c>
    </row>
    <row r="66" spans="1:9" x14ac:dyDescent="0.25">
      <c r="A66" s="2">
        <v>44662</v>
      </c>
      <c r="B66" t="s">
        <v>592</v>
      </c>
      <c r="C66" s="4">
        <v>78000</v>
      </c>
      <c r="D66" s="12" t="s">
        <v>7</v>
      </c>
      <c r="F66" s="12" t="s">
        <v>10</v>
      </c>
      <c r="I66" s="4">
        <f t="shared" si="1"/>
        <v>78000</v>
      </c>
    </row>
    <row r="67" spans="1:9" x14ac:dyDescent="0.25">
      <c r="A67" s="2">
        <v>44663</v>
      </c>
      <c r="B67" t="s">
        <v>593</v>
      </c>
      <c r="C67" s="4">
        <v>49000</v>
      </c>
      <c r="D67" s="12" t="s">
        <v>7</v>
      </c>
      <c r="F67" s="12" t="s">
        <v>25</v>
      </c>
      <c r="I67" s="4">
        <f t="shared" si="1"/>
        <v>49000</v>
      </c>
    </row>
    <row r="68" spans="1:9" x14ac:dyDescent="0.25">
      <c r="A68" s="2">
        <v>44685</v>
      </c>
      <c r="B68" t="s">
        <v>611</v>
      </c>
      <c r="C68" s="4">
        <v>68000</v>
      </c>
      <c r="D68" s="12" t="s">
        <v>26</v>
      </c>
      <c r="F68" s="12" t="s">
        <v>25</v>
      </c>
      <c r="I68" s="4">
        <f t="shared" si="1"/>
        <v>0</v>
      </c>
    </row>
    <row r="69" spans="1:9" x14ac:dyDescent="0.25">
      <c r="A69" s="2">
        <v>44692</v>
      </c>
      <c r="B69" t="s">
        <v>615</v>
      </c>
      <c r="C69" s="4">
        <v>83500</v>
      </c>
      <c r="D69" s="12" t="s">
        <v>7</v>
      </c>
      <c r="F69" s="12" t="s">
        <v>25</v>
      </c>
      <c r="I69" s="4">
        <f t="shared" si="1"/>
        <v>83500</v>
      </c>
    </row>
    <row r="70" spans="1:9" x14ac:dyDescent="0.25">
      <c r="A70" s="2">
        <v>44692</v>
      </c>
      <c r="B70" t="s">
        <v>616</v>
      </c>
      <c r="C70" s="4">
        <v>22000</v>
      </c>
      <c r="D70" s="12" t="s">
        <v>7</v>
      </c>
      <c r="F70" s="12" t="s">
        <v>25</v>
      </c>
      <c r="I70" s="4">
        <f t="shared" si="1"/>
        <v>22000</v>
      </c>
    </row>
    <row r="71" spans="1:9" x14ac:dyDescent="0.25">
      <c r="A71" s="2">
        <v>44693</v>
      </c>
      <c r="B71" t="s">
        <v>617</v>
      </c>
      <c r="C71" s="4">
        <v>13000</v>
      </c>
      <c r="D71" s="12" t="s">
        <v>7</v>
      </c>
      <c r="F71" s="12" t="s">
        <v>292</v>
      </c>
      <c r="I71" s="4">
        <f t="shared" si="1"/>
        <v>13000</v>
      </c>
    </row>
    <row r="72" spans="1:9" x14ac:dyDescent="0.25">
      <c r="A72" s="20">
        <v>44699</v>
      </c>
      <c r="B72" s="21" t="s">
        <v>620</v>
      </c>
      <c r="C72" s="22">
        <v>65000</v>
      </c>
      <c r="D72" s="12" t="s">
        <v>26</v>
      </c>
      <c r="F72" s="12" t="s">
        <v>229</v>
      </c>
      <c r="I72" s="4">
        <f t="shared" si="1"/>
        <v>0</v>
      </c>
    </row>
    <row r="73" spans="1:9" x14ac:dyDescent="0.25">
      <c r="A73" s="2">
        <v>44700</v>
      </c>
      <c r="B73" t="s">
        <v>345</v>
      </c>
      <c r="C73" s="4">
        <v>4500</v>
      </c>
      <c r="D73" s="12" t="s">
        <v>7</v>
      </c>
      <c r="F73" t="s">
        <v>292</v>
      </c>
      <c r="I73" s="4">
        <f t="shared" si="1"/>
        <v>4500</v>
      </c>
    </row>
    <row r="74" spans="1:9" x14ac:dyDescent="0.25">
      <c r="A74" s="2">
        <v>44706</v>
      </c>
      <c r="B74" t="s">
        <v>629</v>
      </c>
      <c r="C74" s="4">
        <v>16000</v>
      </c>
      <c r="D74" s="12" t="s">
        <v>7</v>
      </c>
      <c r="F74" t="s">
        <v>229</v>
      </c>
      <c r="I74" s="4">
        <f t="shared" si="1"/>
        <v>16000</v>
      </c>
    </row>
    <row r="75" spans="1:9" x14ac:dyDescent="0.25">
      <c r="A75" s="2">
        <v>44721</v>
      </c>
      <c r="B75" t="s">
        <v>637</v>
      </c>
      <c r="C75" s="4">
        <v>23000</v>
      </c>
      <c r="D75" s="12" t="s">
        <v>157</v>
      </c>
      <c r="F75" t="s">
        <v>52</v>
      </c>
      <c r="I75" s="4">
        <f t="shared" ref="I75:I137" si="3">IF(D75="PENDIENTE",C75,0)</f>
        <v>0</v>
      </c>
    </row>
    <row r="76" spans="1:9" x14ac:dyDescent="0.25">
      <c r="A76" s="2">
        <v>44722</v>
      </c>
      <c r="B76" t="s">
        <v>638</v>
      </c>
      <c r="C76" s="4">
        <v>14000</v>
      </c>
      <c r="D76" s="12" t="s">
        <v>157</v>
      </c>
      <c r="F76" t="s">
        <v>52</v>
      </c>
      <c r="I76" s="4">
        <f t="shared" si="3"/>
        <v>0</v>
      </c>
    </row>
    <row r="77" spans="1:9" x14ac:dyDescent="0.25">
      <c r="A77" s="2">
        <v>44726</v>
      </c>
      <c r="B77" t="s">
        <v>639</v>
      </c>
      <c r="C77" s="4">
        <v>18000</v>
      </c>
      <c r="D77" s="12" t="s">
        <v>157</v>
      </c>
      <c r="F77" t="s">
        <v>52</v>
      </c>
      <c r="I77" s="4">
        <f t="shared" si="3"/>
        <v>0</v>
      </c>
    </row>
    <row r="78" spans="1:9" x14ac:dyDescent="0.25">
      <c r="A78" s="2">
        <v>44729</v>
      </c>
      <c r="B78" t="s">
        <v>645</v>
      </c>
      <c r="C78" s="4">
        <v>28000</v>
      </c>
      <c r="D78" s="12" t="s">
        <v>157</v>
      </c>
      <c r="F78" t="s">
        <v>52</v>
      </c>
      <c r="I78" s="4">
        <f t="shared" si="3"/>
        <v>0</v>
      </c>
    </row>
    <row r="79" spans="1:9" x14ac:dyDescent="0.25">
      <c r="A79" s="2">
        <v>44746</v>
      </c>
      <c r="B79" t="s">
        <v>654</v>
      </c>
      <c r="C79" s="4">
        <v>20000</v>
      </c>
      <c r="D79" s="12" t="s">
        <v>157</v>
      </c>
      <c r="F79" t="s">
        <v>25</v>
      </c>
      <c r="I79" s="4">
        <f t="shared" si="3"/>
        <v>0</v>
      </c>
    </row>
    <row r="80" spans="1:9" x14ac:dyDescent="0.25">
      <c r="A80" s="2">
        <v>44760</v>
      </c>
      <c r="B80" t="s">
        <v>668</v>
      </c>
      <c r="C80" s="4">
        <v>7000</v>
      </c>
      <c r="D80" s="12" t="s">
        <v>7</v>
      </c>
      <c r="F80" t="s">
        <v>52</v>
      </c>
      <c r="I80" s="4">
        <f t="shared" si="3"/>
        <v>7000</v>
      </c>
    </row>
    <row r="81" spans="1:13" x14ac:dyDescent="0.25">
      <c r="A81" s="2">
        <v>44767</v>
      </c>
      <c r="B81" t="s">
        <v>672</v>
      </c>
      <c r="C81" s="4">
        <v>16000</v>
      </c>
      <c r="D81" s="12" t="s">
        <v>26</v>
      </c>
      <c r="E81" t="s">
        <v>27</v>
      </c>
      <c r="F81" t="s">
        <v>52</v>
      </c>
      <c r="I81" s="4">
        <f t="shared" si="3"/>
        <v>0</v>
      </c>
    </row>
    <row r="82" spans="1:13" x14ac:dyDescent="0.25">
      <c r="A82" s="2">
        <v>44777</v>
      </c>
      <c r="B82" t="s">
        <v>682</v>
      </c>
      <c r="C82" s="4">
        <v>74500</v>
      </c>
      <c r="D82" s="12" t="s">
        <v>7</v>
      </c>
      <c r="F82" t="s">
        <v>10</v>
      </c>
      <c r="I82" s="4">
        <f t="shared" si="3"/>
        <v>74500</v>
      </c>
    </row>
    <row r="83" spans="1:13" x14ac:dyDescent="0.25">
      <c r="A83" s="2">
        <v>44777</v>
      </c>
      <c r="B83" t="s">
        <v>683</v>
      </c>
      <c r="C83" s="4">
        <v>113500</v>
      </c>
      <c r="D83" s="12" t="s">
        <v>157</v>
      </c>
      <c r="F83" t="s">
        <v>10</v>
      </c>
      <c r="I83" s="4">
        <f t="shared" si="3"/>
        <v>0</v>
      </c>
    </row>
    <row r="84" spans="1:13" x14ac:dyDescent="0.25">
      <c r="A84" t="s">
        <v>684</v>
      </c>
      <c r="B84" t="s">
        <v>685</v>
      </c>
      <c r="C84" s="4">
        <v>44500</v>
      </c>
      <c r="D84" s="12" t="s">
        <v>157</v>
      </c>
      <c r="F84" t="s">
        <v>10</v>
      </c>
      <c r="I84" s="4">
        <f t="shared" si="3"/>
        <v>0</v>
      </c>
    </row>
    <row r="85" spans="1:13" x14ac:dyDescent="0.25">
      <c r="A85" s="2">
        <v>44778</v>
      </c>
      <c r="B85" t="s">
        <v>689</v>
      </c>
      <c r="C85" s="4">
        <v>10000</v>
      </c>
      <c r="D85" s="12" t="s">
        <v>26</v>
      </c>
      <c r="F85" t="s">
        <v>52</v>
      </c>
      <c r="I85" s="4">
        <f t="shared" si="3"/>
        <v>0</v>
      </c>
    </row>
    <row r="86" spans="1:13" x14ac:dyDescent="0.25">
      <c r="A86" s="2">
        <v>44781</v>
      </c>
      <c r="B86" t="s">
        <v>690</v>
      </c>
      <c r="C86" s="4">
        <v>7000</v>
      </c>
      <c r="D86" s="12" t="s">
        <v>7</v>
      </c>
      <c r="F86" t="s">
        <v>25</v>
      </c>
      <c r="I86" s="4">
        <f t="shared" si="3"/>
        <v>7000</v>
      </c>
    </row>
    <row r="87" spans="1:13" x14ac:dyDescent="0.25">
      <c r="A87" s="2">
        <v>44802</v>
      </c>
      <c r="B87" t="s">
        <v>712</v>
      </c>
      <c r="C87" s="4">
        <v>6500</v>
      </c>
      <c r="D87" s="12" t="s">
        <v>7</v>
      </c>
      <c r="F87" t="s">
        <v>25</v>
      </c>
      <c r="I87" s="4">
        <f t="shared" si="3"/>
        <v>6500</v>
      </c>
    </row>
    <row r="88" spans="1:13" x14ac:dyDescent="0.25">
      <c r="A88" s="2">
        <v>44833</v>
      </c>
      <c r="B88" t="s">
        <v>747</v>
      </c>
      <c r="C88" s="4">
        <v>6000</v>
      </c>
      <c r="D88" s="12" t="s">
        <v>7</v>
      </c>
      <c r="F88" t="s">
        <v>25</v>
      </c>
      <c r="I88" s="4">
        <f t="shared" si="3"/>
        <v>6000</v>
      </c>
    </row>
    <row r="89" spans="1:13" x14ac:dyDescent="0.25">
      <c r="A89" s="2">
        <v>44852</v>
      </c>
      <c r="B89" t="s">
        <v>796</v>
      </c>
      <c r="C89" s="4">
        <v>10000</v>
      </c>
      <c r="D89" s="12" t="s">
        <v>7</v>
      </c>
      <c r="F89" t="s">
        <v>10</v>
      </c>
      <c r="I89" s="4">
        <f t="shared" si="3"/>
        <v>10000</v>
      </c>
    </row>
    <row r="90" spans="1:13" x14ac:dyDescent="0.25">
      <c r="A90" s="2">
        <v>44896</v>
      </c>
      <c r="B90" t="s">
        <v>809</v>
      </c>
      <c r="C90" s="4">
        <v>6500</v>
      </c>
      <c r="D90" s="12" t="s">
        <v>26</v>
      </c>
      <c r="F90" t="s">
        <v>10</v>
      </c>
      <c r="I90" s="4">
        <f t="shared" si="3"/>
        <v>0</v>
      </c>
      <c r="J90" t="s">
        <v>414</v>
      </c>
      <c r="K90">
        <v>150000</v>
      </c>
      <c r="L90" s="2">
        <v>44945</v>
      </c>
    </row>
    <row r="91" spans="1:13" x14ac:dyDescent="0.25">
      <c r="A91" s="2">
        <v>44904</v>
      </c>
      <c r="B91" t="s">
        <v>814</v>
      </c>
      <c r="C91" s="4">
        <v>15000</v>
      </c>
      <c r="D91" s="12" t="s">
        <v>26</v>
      </c>
      <c r="F91" t="s">
        <v>229</v>
      </c>
      <c r="I91" s="4">
        <f t="shared" si="3"/>
        <v>0</v>
      </c>
      <c r="K91">
        <v>150000</v>
      </c>
      <c r="L91" s="2">
        <v>45021</v>
      </c>
    </row>
    <row r="92" spans="1:13" x14ac:dyDescent="0.25">
      <c r="A92" s="2">
        <v>44910</v>
      </c>
      <c r="B92" t="s">
        <v>829</v>
      </c>
      <c r="C92" s="4">
        <v>28000</v>
      </c>
      <c r="D92" s="12" t="s">
        <v>7</v>
      </c>
      <c r="F92" t="s">
        <v>25</v>
      </c>
      <c r="I92" s="4">
        <f t="shared" si="3"/>
        <v>28000</v>
      </c>
      <c r="K92">
        <v>100000</v>
      </c>
      <c r="L92" s="2">
        <v>45198</v>
      </c>
    </row>
    <row r="93" spans="1:13" x14ac:dyDescent="0.25">
      <c r="A93" s="2">
        <v>45037</v>
      </c>
      <c r="B93" t="s">
        <v>940</v>
      </c>
      <c r="C93" s="4">
        <v>70000</v>
      </c>
      <c r="D93" s="12" t="s">
        <v>7</v>
      </c>
      <c r="F93" t="s">
        <v>25</v>
      </c>
      <c r="I93" s="4">
        <f t="shared" si="3"/>
        <v>70000</v>
      </c>
      <c r="K93">
        <v>48500</v>
      </c>
      <c r="L93" s="2">
        <v>45310</v>
      </c>
      <c r="M93" t="s">
        <v>1260</v>
      </c>
    </row>
    <row r="94" spans="1:13" x14ac:dyDescent="0.25">
      <c r="A94" s="2">
        <v>45040</v>
      </c>
      <c r="B94" t="s">
        <v>942</v>
      </c>
      <c r="C94" s="4">
        <v>25000</v>
      </c>
      <c r="D94" s="12" t="s">
        <v>7</v>
      </c>
      <c r="F94" t="s">
        <v>25</v>
      </c>
      <c r="I94" s="4">
        <f t="shared" si="3"/>
        <v>25000</v>
      </c>
    </row>
    <row r="95" spans="1:13" x14ac:dyDescent="0.25">
      <c r="A95" s="2">
        <v>45055</v>
      </c>
      <c r="B95" t="s">
        <v>960</v>
      </c>
      <c r="C95" s="4">
        <v>22000</v>
      </c>
      <c r="D95" s="12" t="s">
        <v>7</v>
      </c>
      <c r="F95" t="s">
        <v>229</v>
      </c>
      <c r="I95" s="4">
        <f t="shared" si="3"/>
        <v>22000</v>
      </c>
    </row>
    <row r="96" spans="1:13" x14ac:dyDescent="0.25">
      <c r="A96" s="2">
        <v>45175</v>
      </c>
      <c r="B96" t="s">
        <v>1083</v>
      </c>
      <c r="C96" s="4">
        <v>23000</v>
      </c>
      <c r="D96" s="12" t="s">
        <v>7</v>
      </c>
      <c r="F96" t="s">
        <v>10</v>
      </c>
      <c r="I96" s="4">
        <f t="shared" si="3"/>
        <v>23000</v>
      </c>
    </row>
    <row r="97" spans="1:9" x14ac:dyDescent="0.25">
      <c r="A97" s="2">
        <v>45202</v>
      </c>
      <c r="B97" t="s">
        <v>1110</v>
      </c>
      <c r="C97" s="4">
        <v>85000</v>
      </c>
      <c r="D97" s="12" t="s">
        <v>7</v>
      </c>
      <c r="F97" t="s">
        <v>10</v>
      </c>
      <c r="I97" s="4">
        <f t="shared" si="3"/>
        <v>85000</v>
      </c>
    </row>
    <row r="98" spans="1:9" x14ac:dyDescent="0.25">
      <c r="A98" s="2">
        <v>45217</v>
      </c>
      <c r="B98" t="s">
        <v>1130</v>
      </c>
      <c r="C98" s="4">
        <v>26500</v>
      </c>
      <c r="D98" s="12" t="s">
        <v>7</v>
      </c>
      <c r="F98" t="s">
        <v>10</v>
      </c>
      <c r="I98" s="4">
        <f t="shared" si="3"/>
        <v>26500</v>
      </c>
    </row>
    <row r="99" spans="1:9" x14ac:dyDescent="0.25">
      <c r="A99" s="2">
        <v>45229</v>
      </c>
      <c r="B99" t="s">
        <v>1145</v>
      </c>
      <c r="C99" s="4">
        <v>56500</v>
      </c>
      <c r="D99" s="12" t="s">
        <v>26</v>
      </c>
      <c r="F99" t="s">
        <v>10</v>
      </c>
      <c r="I99" s="4">
        <f t="shared" si="3"/>
        <v>0</v>
      </c>
    </row>
    <row r="100" spans="1:9" x14ac:dyDescent="0.25">
      <c r="A100" s="2">
        <v>45229</v>
      </c>
      <c r="B100" t="s">
        <v>1178</v>
      </c>
      <c r="C100" s="4">
        <v>14000</v>
      </c>
      <c r="D100" s="12" t="s">
        <v>26</v>
      </c>
      <c r="F100" t="s">
        <v>10</v>
      </c>
      <c r="I100" s="4">
        <f t="shared" si="3"/>
        <v>0</v>
      </c>
    </row>
    <row r="101" spans="1:9" x14ac:dyDescent="0.25">
      <c r="A101" s="2">
        <v>45239</v>
      </c>
      <c r="B101" t="s">
        <v>1179</v>
      </c>
      <c r="C101" s="4">
        <v>8000</v>
      </c>
      <c r="D101" s="12" t="s">
        <v>26</v>
      </c>
      <c r="F101" t="s">
        <v>10</v>
      </c>
      <c r="I101" s="4">
        <f t="shared" si="3"/>
        <v>0</v>
      </c>
    </row>
    <row r="102" spans="1:9" x14ac:dyDescent="0.25">
      <c r="A102" s="2">
        <v>45257</v>
      </c>
      <c r="B102" t="s">
        <v>1175</v>
      </c>
      <c r="C102" s="4">
        <v>39500</v>
      </c>
      <c r="D102" s="12" t="s">
        <v>26</v>
      </c>
      <c r="I102" s="4">
        <f t="shared" si="3"/>
        <v>0</v>
      </c>
    </row>
    <row r="103" spans="1:9" x14ac:dyDescent="0.25">
      <c r="A103" s="2">
        <v>45259</v>
      </c>
      <c r="B103" t="s">
        <v>1177</v>
      </c>
      <c r="C103" s="4">
        <v>42000</v>
      </c>
      <c r="D103" s="12" t="s">
        <v>26</v>
      </c>
      <c r="I103" s="4">
        <f t="shared" si="3"/>
        <v>0</v>
      </c>
    </row>
    <row r="104" spans="1:9" x14ac:dyDescent="0.25">
      <c r="A104" s="2">
        <v>45259</v>
      </c>
      <c r="B104" t="s">
        <v>1180</v>
      </c>
      <c r="C104" s="4">
        <v>40000</v>
      </c>
      <c r="D104" s="12" t="s">
        <v>26</v>
      </c>
      <c r="I104" s="4">
        <f t="shared" si="3"/>
        <v>0</v>
      </c>
    </row>
    <row r="105" spans="1:9" x14ac:dyDescent="0.25">
      <c r="A105" s="2">
        <v>45260</v>
      </c>
      <c r="B105" t="s">
        <v>1182</v>
      </c>
      <c r="C105" s="4">
        <v>50000</v>
      </c>
      <c r="D105" s="12" t="s">
        <v>26</v>
      </c>
      <c r="F105" t="s">
        <v>25</v>
      </c>
      <c r="I105" s="4">
        <f t="shared" si="3"/>
        <v>0</v>
      </c>
    </row>
    <row r="106" spans="1:9" x14ac:dyDescent="0.25">
      <c r="A106" s="2">
        <v>45267</v>
      </c>
      <c r="B106" t="s">
        <v>1190</v>
      </c>
      <c r="C106" s="4">
        <v>22500</v>
      </c>
      <c r="D106" s="12" t="s">
        <v>7</v>
      </c>
      <c r="I106" s="4">
        <f t="shared" si="3"/>
        <v>22500</v>
      </c>
    </row>
    <row r="107" spans="1:9" x14ac:dyDescent="0.25">
      <c r="A107" s="2">
        <v>45315</v>
      </c>
      <c r="B107" t="s">
        <v>1226</v>
      </c>
      <c r="C107" s="4">
        <v>12000</v>
      </c>
      <c r="D107" s="12" t="s">
        <v>7</v>
      </c>
      <c r="I107" s="4">
        <f t="shared" si="3"/>
        <v>12000</v>
      </c>
    </row>
    <row r="108" spans="1:9" x14ac:dyDescent="0.25">
      <c r="A108" s="2">
        <v>45317</v>
      </c>
      <c r="B108" t="s">
        <v>308</v>
      </c>
      <c r="C108" s="4">
        <v>5000</v>
      </c>
      <c r="D108" s="12" t="s">
        <v>7</v>
      </c>
      <c r="I108" s="4">
        <f t="shared" si="3"/>
        <v>5000</v>
      </c>
    </row>
    <row r="109" spans="1:9" x14ac:dyDescent="0.25">
      <c r="A109" s="2">
        <v>45345</v>
      </c>
      <c r="B109" t="s">
        <v>1269</v>
      </c>
      <c r="C109" s="4">
        <v>12000</v>
      </c>
      <c r="D109" s="12" t="s">
        <v>7</v>
      </c>
      <c r="I109" s="4">
        <f t="shared" si="3"/>
        <v>12000</v>
      </c>
    </row>
    <row r="110" spans="1:9" x14ac:dyDescent="0.25">
      <c r="A110" s="2">
        <v>45349</v>
      </c>
      <c r="B110" t="s">
        <v>1272</v>
      </c>
      <c r="C110" s="4">
        <v>18000</v>
      </c>
      <c r="D110" s="12" t="s">
        <v>7</v>
      </c>
      <c r="I110" s="4">
        <f t="shared" si="3"/>
        <v>18000</v>
      </c>
    </row>
    <row r="111" spans="1:9" x14ac:dyDescent="0.25">
      <c r="A111" s="2">
        <v>45350</v>
      </c>
      <c r="B111" t="s">
        <v>1274</v>
      </c>
      <c r="C111" s="4">
        <v>56000</v>
      </c>
      <c r="D111" s="12" t="s">
        <v>7</v>
      </c>
      <c r="I111" s="4">
        <f t="shared" si="3"/>
        <v>56000</v>
      </c>
    </row>
    <row r="112" spans="1:9" x14ac:dyDescent="0.25">
      <c r="A112" s="2">
        <v>45365</v>
      </c>
      <c r="B112" t="s">
        <v>1290</v>
      </c>
      <c r="C112" s="4">
        <v>22000</v>
      </c>
      <c r="D112" s="12" t="s">
        <v>7</v>
      </c>
      <c r="I112" s="4">
        <f t="shared" si="3"/>
        <v>22000</v>
      </c>
    </row>
    <row r="113" spans="1:9" x14ac:dyDescent="0.25">
      <c r="A113" s="2">
        <v>45365</v>
      </c>
      <c r="B113" t="s">
        <v>1285</v>
      </c>
      <c r="C113" s="4">
        <v>16000</v>
      </c>
      <c r="D113" s="12" t="s">
        <v>7</v>
      </c>
      <c r="I113" s="4">
        <f t="shared" si="3"/>
        <v>16000</v>
      </c>
    </row>
    <row r="114" spans="1:9" x14ac:dyDescent="0.25">
      <c r="B114" t="s">
        <v>1336</v>
      </c>
      <c r="C114" s="4">
        <v>37000</v>
      </c>
      <c r="D114" s="12" t="s">
        <v>7</v>
      </c>
      <c r="I114" s="4">
        <f t="shared" si="3"/>
        <v>37000</v>
      </c>
    </row>
    <row r="115" spans="1:9" x14ac:dyDescent="0.25">
      <c r="B115" t="s">
        <v>1337</v>
      </c>
      <c r="C115" s="4">
        <v>18000</v>
      </c>
      <c r="D115" s="12" t="s">
        <v>7</v>
      </c>
      <c r="I115" s="4">
        <f t="shared" si="3"/>
        <v>18000</v>
      </c>
    </row>
    <row r="116" spans="1:9" x14ac:dyDescent="0.25">
      <c r="A116" s="2">
        <v>45439</v>
      </c>
      <c r="B116" t="s">
        <v>1340</v>
      </c>
      <c r="C116" s="4">
        <v>105000</v>
      </c>
      <c r="D116" s="12" t="s">
        <v>7</v>
      </c>
      <c r="I116" s="4">
        <f t="shared" si="3"/>
        <v>105000</v>
      </c>
    </row>
    <row r="117" spans="1:9" x14ac:dyDescent="0.25">
      <c r="A117" s="2">
        <v>45464</v>
      </c>
      <c r="B117" t="s">
        <v>1382</v>
      </c>
      <c r="C117" s="4">
        <v>24000</v>
      </c>
      <c r="D117" s="12" t="s">
        <v>7</v>
      </c>
      <c r="I117" s="4">
        <f t="shared" si="3"/>
        <v>24000</v>
      </c>
    </row>
    <row r="118" spans="1:9" x14ac:dyDescent="0.25">
      <c r="A118" s="2">
        <v>45477</v>
      </c>
      <c r="B118" t="s">
        <v>1386</v>
      </c>
      <c r="C118" s="4">
        <v>7000</v>
      </c>
      <c r="D118" s="12" t="s">
        <v>7</v>
      </c>
      <c r="I118" s="4">
        <f t="shared" si="3"/>
        <v>7000</v>
      </c>
    </row>
    <row r="119" spans="1:9" x14ac:dyDescent="0.25">
      <c r="A119" s="2">
        <v>45506</v>
      </c>
      <c r="B119" t="s">
        <v>1408</v>
      </c>
      <c r="C119" s="4">
        <v>40000</v>
      </c>
      <c r="D119" s="12" t="s">
        <v>7</v>
      </c>
      <c r="E119" s="10"/>
      <c r="I119" s="4">
        <f t="shared" si="3"/>
        <v>40000</v>
      </c>
    </row>
    <row r="120" spans="1:9" x14ac:dyDescent="0.25">
      <c r="A120" s="2">
        <v>45544</v>
      </c>
      <c r="B120" t="s">
        <v>1433</v>
      </c>
      <c r="C120" s="4">
        <v>7500</v>
      </c>
      <c r="D120" s="12" t="s">
        <v>7</v>
      </c>
      <c r="I120" s="4">
        <f t="shared" si="3"/>
        <v>7500</v>
      </c>
    </row>
    <row r="121" spans="1:9" x14ac:dyDescent="0.25">
      <c r="A121" s="2">
        <v>45548</v>
      </c>
      <c r="B121" t="s">
        <v>1440</v>
      </c>
      <c r="C121" s="4">
        <v>42000</v>
      </c>
      <c r="D121" s="12" t="s">
        <v>7</v>
      </c>
      <c r="I121" s="4">
        <f t="shared" si="3"/>
        <v>42000</v>
      </c>
    </row>
    <row r="122" spans="1:9" x14ac:dyDescent="0.25">
      <c r="A122" s="2">
        <v>45548</v>
      </c>
      <c r="B122" t="s">
        <v>1441</v>
      </c>
      <c r="C122" s="4">
        <v>4500</v>
      </c>
      <c r="D122" s="12" t="s">
        <v>7</v>
      </c>
      <c r="I122" s="4">
        <f t="shared" si="3"/>
        <v>4500</v>
      </c>
    </row>
    <row r="123" spans="1:9" x14ac:dyDescent="0.25">
      <c r="B123" t="s">
        <v>1444</v>
      </c>
      <c r="C123" s="4">
        <v>4500</v>
      </c>
      <c r="D123" s="12" t="s">
        <v>7</v>
      </c>
      <c r="I123" s="4">
        <f t="shared" si="3"/>
        <v>4500</v>
      </c>
    </row>
    <row r="124" spans="1:9" x14ac:dyDescent="0.25">
      <c r="A124" s="2">
        <v>45587</v>
      </c>
      <c r="B124" t="s">
        <v>1458</v>
      </c>
      <c r="C124" s="4">
        <v>60000</v>
      </c>
      <c r="D124" s="12" t="s">
        <v>7</v>
      </c>
      <c r="I124" s="4">
        <f t="shared" si="3"/>
        <v>60000</v>
      </c>
    </row>
    <row r="125" spans="1:9" x14ac:dyDescent="0.25">
      <c r="A125" s="2">
        <v>45673</v>
      </c>
      <c r="B125" t="s">
        <v>1540</v>
      </c>
      <c r="C125" s="4">
        <v>28000</v>
      </c>
      <c r="D125" s="12" t="s">
        <v>7</v>
      </c>
      <c r="I125" s="4">
        <f t="shared" si="3"/>
        <v>28000</v>
      </c>
    </row>
    <row r="126" spans="1:9" x14ac:dyDescent="0.25">
      <c r="I126" s="4">
        <f t="shared" si="3"/>
        <v>0</v>
      </c>
    </row>
    <row r="127" spans="1:9" x14ac:dyDescent="0.25">
      <c r="I127" s="4">
        <f t="shared" si="3"/>
        <v>0</v>
      </c>
    </row>
    <row r="128" spans="1:9" x14ac:dyDescent="0.25">
      <c r="I128" s="4">
        <f t="shared" si="3"/>
        <v>0</v>
      </c>
    </row>
    <row r="129" spans="9:9" x14ac:dyDescent="0.25">
      <c r="I129" s="4">
        <f t="shared" si="3"/>
        <v>0</v>
      </c>
    </row>
    <row r="130" spans="9:9" x14ac:dyDescent="0.25">
      <c r="I130" s="4">
        <f t="shared" si="3"/>
        <v>0</v>
      </c>
    </row>
    <row r="131" spans="9:9" x14ac:dyDescent="0.25">
      <c r="I131" s="4">
        <f t="shared" si="3"/>
        <v>0</v>
      </c>
    </row>
    <row r="132" spans="9:9" x14ac:dyDescent="0.25">
      <c r="I132" s="4">
        <f t="shared" si="3"/>
        <v>0</v>
      </c>
    </row>
    <row r="133" spans="9:9" x14ac:dyDescent="0.25">
      <c r="I133" s="4">
        <f t="shared" si="3"/>
        <v>0</v>
      </c>
    </row>
    <row r="134" spans="9:9" x14ac:dyDescent="0.25">
      <c r="I134" s="4">
        <f t="shared" si="3"/>
        <v>0</v>
      </c>
    </row>
    <row r="135" spans="9:9" x14ac:dyDescent="0.25">
      <c r="I135" s="4">
        <f t="shared" si="3"/>
        <v>0</v>
      </c>
    </row>
    <row r="136" spans="9:9" x14ac:dyDescent="0.25">
      <c r="I136" s="4">
        <f t="shared" si="3"/>
        <v>0</v>
      </c>
    </row>
    <row r="137" spans="9:9" x14ac:dyDescent="0.25">
      <c r="I137" s="4">
        <f t="shared" si="3"/>
        <v>0</v>
      </c>
    </row>
    <row r="138" spans="9:9" x14ac:dyDescent="0.25">
      <c r="I138" s="4">
        <f t="shared" ref="I138:I182" si="4">IF(D138="PENDIENTE",C138,0)</f>
        <v>0</v>
      </c>
    </row>
    <row r="139" spans="9:9" x14ac:dyDescent="0.25">
      <c r="I139" s="4">
        <f t="shared" si="4"/>
        <v>0</v>
      </c>
    </row>
    <row r="140" spans="9:9" x14ac:dyDescent="0.25">
      <c r="I140" s="4">
        <f t="shared" si="4"/>
        <v>0</v>
      </c>
    </row>
    <row r="141" spans="9:9" x14ac:dyDescent="0.25">
      <c r="I141" s="4">
        <f t="shared" si="4"/>
        <v>0</v>
      </c>
    </row>
    <row r="142" spans="9:9" x14ac:dyDescent="0.25">
      <c r="I142" s="4">
        <f t="shared" si="4"/>
        <v>0</v>
      </c>
    </row>
    <row r="143" spans="9:9" x14ac:dyDescent="0.25">
      <c r="I143" s="4">
        <f t="shared" si="4"/>
        <v>0</v>
      </c>
    </row>
    <row r="144" spans="9:9" x14ac:dyDescent="0.25">
      <c r="I144" s="4">
        <f t="shared" si="4"/>
        <v>0</v>
      </c>
    </row>
    <row r="145" spans="9:9" x14ac:dyDescent="0.25">
      <c r="I145" s="4">
        <f t="shared" si="4"/>
        <v>0</v>
      </c>
    </row>
    <row r="146" spans="9:9" x14ac:dyDescent="0.25">
      <c r="I146" s="4">
        <f t="shared" si="4"/>
        <v>0</v>
      </c>
    </row>
    <row r="147" spans="9:9" x14ac:dyDescent="0.25">
      <c r="I147" s="4">
        <f t="shared" si="4"/>
        <v>0</v>
      </c>
    </row>
    <row r="148" spans="9:9" x14ac:dyDescent="0.25">
      <c r="I148" s="4">
        <f t="shared" si="4"/>
        <v>0</v>
      </c>
    </row>
    <row r="149" spans="9:9" x14ac:dyDescent="0.25">
      <c r="I149" s="4">
        <f t="shared" si="4"/>
        <v>0</v>
      </c>
    </row>
    <row r="150" spans="9:9" x14ac:dyDescent="0.25">
      <c r="I150" s="4">
        <f t="shared" si="4"/>
        <v>0</v>
      </c>
    </row>
    <row r="151" spans="9:9" x14ac:dyDescent="0.25">
      <c r="I151" s="4">
        <f t="shared" si="4"/>
        <v>0</v>
      </c>
    </row>
    <row r="152" spans="9:9" x14ac:dyDescent="0.25">
      <c r="I152" s="4">
        <f t="shared" si="4"/>
        <v>0</v>
      </c>
    </row>
    <row r="153" spans="9:9" x14ac:dyDescent="0.25">
      <c r="I153" s="4">
        <f t="shared" si="4"/>
        <v>0</v>
      </c>
    </row>
    <row r="154" spans="9:9" x14ac:dyDescent="0.25">
      <c r="I154" s="4">
        <f t="shared" si="4"/>
        <v>0</v>
      </c>
    </row>
    <row r="155" spans="9:9" x14ac:dyDescent="0.25">
      <c r="I155" s="4">
        <f t="shared" si="4"/>
        <v>0</v>
      </c>
    </row>
    <row r="156" spans="9:9" x14ac:dyDescent="0.25">
      <c r="I156" s="4">
        <f t="shared" si="4"/>
        <v>0</v>
      </c>
    </row>
    <row r="157" spans="9:9" x14ac:dyDescent="0.25">
      <c r="I157" s="4">
        <f t="shared" si="4"/>
        <v>0</v>
      </c>
    </row>
    <row r="158" spans="9:9" x14ac:dyDescent="0.25">
      <c r="I158" s="4">
        <f t="shared" si="4"/>
        <v>0</v>
      </c>
    </row>
    <row r="159" spans="9:9" x14ac:dyDescent="0.25">
      <c r="I159" s="4">
        <f t="shared" si="4"/>
        <v>0</v>
      </c>
    </row>
    <row r="160" spans="9:9" x14ac:dyDescent="0.25">
      <c r="I160" s="4">
        <f t="shared" si="4"/>
        <v>0</v>
      </c>
    </row>
    <row r="161" spans="9:9" x14ac:dyDescent="0.25">
      <c r="I161" s="4">
        <f t="shared" si="4"/>
        <v>0</v>
      </c>
    </row>
    <row r="162" spans="9:9" x14ac:dyDescent="0.25">
      <c r="I162" s="4">
        <f t="shared" si="4"/>
        <v>0</v>
      </c>
    </row>
    <row r="163" spans="9:9" x14ac:dyDescent="0.25">
      <c r="I163" s="4">
        <f t="shared" si="4"/>
        <v>0</v>
      </c>
    </row>
    <row r="164" spans="9:9" x14ac:dyDescent="0.25">
      <c r="I164" s="4">
        <f t="shared" si="4"/>
        <v>0</v>
      </c>
    </row>
    <row r="165" spans="9:9" x14ac:dyDescent="0.25">
      <c r="I165" s="4">
        <f t="shared" si="4"/>
        <v>0</v>
      </c>
    </row>
    <row r="166" spans="9:9" x14ac:dyDescent="0.25">
      <c r="I166" s="4">
        <f t="shared" si="4"/>
        <v>0</v>
      </c>
    </row>
    <row r="167" spans="9:9" x14ac:dyDescent="0.25">
      <c r="I167" s="4">
        <f t="shared" si="4"/>
        <v>0</v>
      </c>
    </row>
    <row r="168" spans="9:9" x14ac:dyDescent="0.25">
      <c r="I168" s="4">
        <f t="shared" si="4"/>
        <v>0</v>
      </c>
    </row>
    <row r="169" spans="9:9" x14ac:dyDescent="0.25">
      <c r="I169" s="4">
        <f t="shared" si="4"/>
        <v>0</v>
      </c>
    </row>
    <row r="170" spans="9:9" x14ac:dyDescent="0.25">
      <c r="I170" s="4">
        <f t="shared" si="4"/>
        <v>0</v>
      </c>
    </row>
    <row r="171" spans="9:9" x14ac:dyDescent="0.25">
      <c r="I171" s="4">
        <f t="shared" si="4"/>
        <v>0</v>
      </c>
    </row>
    <row r="172" spans="9:9" x14ac:dyDescent="0.25">
      <c r="I172" s="4">
        <f t="shared" si="4"/>
        <v>0</v>
      </c>
    </row>
    <row r="173" spans="9:9" x14ac:dyDescent="0.25">
      <c r="I173" s="4">
        <f t="shared" si="4"/>
        <v>0</v>
      </c>
    </row>
    <row r="174" spans="9:9" x14ac:dyDescent="0.25">
      <c r="I174" s="4">
        <f t="shared" si="4"/>
        <v>0</v>
      </c>
    </row>
    <row r="175" spans="9:9" x14ac:dyDescent="0.25">
      <c r="I175" s="4">
        <f t="shared" si="4"/>
        <v>0</v>
      </c>
    </row>
    <row r="176" spans="9:9" x14ac:dyDescent="0.25">
      <c r="I176" s="4">
        <f t="shared" si="4"/>
        <v>0</v>
      </c>
    </row>
    <row r="177" spans="9:9" x14ac:dyDescent="0.25">
      <c r="I177" s="4">
        <f t="shared" si="4"/>
        <v>0</v>
      </c>
    </row>
    <row r="178" spans="9:9" x14ac:dyDescent="0.25">
      <c r="I178" s="4">
        <f t="shared" si="4"/>
        <v>0</v>
      </c>
    </row>
    <row r="179" spans="9:9" x14ac:dyDescent="0.25">
      <c r="I179" s="4">
        <f t="shared" si="4"/>
        <v>0</v>
      </c>
    </row>
    <row r="180" spans="9:9" x14ac:dyDescent="0.25">
      <c r="I180" s="4">
        <f t="shared" si="4"/>
        <v>0</v>
      </c>
    </row>
    <row r="181" spans="9:9" x14ac:dyDescent="0.25">
      <c r="I181" s="4">
        <f t="shared" si="4"/>
        <v>0</v>
      </c>
    </row>
    <row r="182" spans="9:9" x14ac:dyDescent="0.25">
      <c r="I182" s="4">
        <f t="shared" si="4"/>
        <v>0</v>
      </c>
    </row>
  </sheetData>
  <autoFilter ref="A1:F39"/>
  <conditionalFormatting sqref="D1:D1048576">
    <cfRule type="cellIs" dxfId="99" priority="13" operator="equal">
      <formula>"PAGADO"</formula>
    </cfRule>
    <cfRule type="cellIs" dxfId="98" priority="14" operator="equal">
      <formula>"PENDIENTE"</formula>
    </cfRule>
    <cfRule type="cellIs" dxfId="97" priority="15" operator="equal">
      <formula>"""PENDIENTE"""</formula>
    </cfRule>
  </conditionalFormatting>
  <conditionalFormatting sqref="E1:E118 E120:E1048576">
    <cfRule type="cellIs" dxfId="96" priority="11" operator="equal">
      <formula>"FACTURADO"</formula>
    </cfRule>
    <cfRule type="cellIs" dxfId="95" priority="12" operator="equal">
      <formula>"NO FACTURADO"</formula>
    </cfRule>
  </conditionalFormatting>
  <conditionalFormatting sqref="F1:F1048576">
    <cfRule type="cellIs" dxfId="94" priority="7" operator="equal">
      <formula>"NATALIA"</formula>
    </cfRule>
    <cfRule type="cellIs" dxfId="93" priority="8" operator="equal">
      <formula>"DELIS"</formula>
    </cfRule>
    <cfRule type="cellIs" dxfId="92" priority="9" operator="equal">
      <formula>"CESAR"</formula>
    </cfRule>
    <cfRule type="cellIs" dxfId="91" priority="10" operator="equal">
      <formula>"OMAR"</formula>
    </cfRule>
  </conditionalFormatting>
  <conditionalFormatting sqref="E119">
    <cfRule type="cellIs" dxfId="90" priority="4" operator="equal">
      <formula>"PAGADO"</formula>
    </cfRule>
    <cfRule type="cellIs" dxfId="89" priority="5" operator="equal">
      <formula>"PENDIENTE"</formula>
    </cfRule>
    <cfRule type="cellIs" dxfId="88" priority="6" operator="equal">
      <formula>"""PENDIENTE"""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44204</v>
      </c>
      <c r="B2" t="s">
        <v>30</v>
      </c>
      <c r="C2" s="4">
        <v>18000</v>
      </c>
      <c r="D2" s="10" t="s">
        <v>26</v>
      </c>
      <c r="E2" t="s">
        <v>11</v>
      </c>
      <c r="F2" t="s">
        <v>52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44204</v>
      </c>
      <c r="B3" t="s">
        <v>31</v>
      </c>
      <c r="C3" s="4">
        <v>17000</v>
      </c>
      <c r="D3" s="10" t="s">
        <v>26</v>
      </c>
      <c r="E3" t="s">
        <v>11</v>
      </c>
      <c r="F3" t="s">
        <v>25</v>
      </c>
      <c r="I3" s="4">
        <f t="shared" si="0"/>
        <v>0</v>
      </c>
    </row>
    <row r="4" spans="1:11" x14ac:dyDescent="0.25">
      <c r="A4" s="2">
        <v>44204</v>
      </c>
      <c r="B4" t="s">
        <v>32</v>
      </c>
      <c r="C4" s="4">
        <v>16000</v>
      </c>
      <c r="D4" s="10" t="s">
        <v>26</v>
      </c>
      <c r="E4" t="s">
        <v>11</v>
      </c>
      <c r="F4" t="s">
        <v>25</v>
      </c>
      <c r="I4" s="4">
        <f t="shared" si="0"/>
        <v>0</v>
      </c>
    </row>
    <row r="5" spans="1:11" x14ac:dyDescent="0.25">
      <c r="A5" s="2">
        <v>44204</v>
      </c>
      <c r="B5" t="s">
        <v>33</v>
      </c>
      <c r="C5" s="4">
        <v>7000</v>
      </c>
      <c r="D5" s="10" t="s">
        <v>26</v>
      </c>
      <c r="E5" s="12" t="s">
        <v>11</v>
      </c>
      <c r="F5" s="12" t="s">
        <v>25</v>
      </c>
      <c r="I5" s="4">
        <f t="shared" si="0"/>
        <v>0</v>
      </c>
    </row>
    <row r="6" spans="1:11" x14ac:dyDescent="0.25">
      <c r="A6" s="2">
        <v>44204</v>
      </c>
      <c r="B6" t="s">
        <v>34</v>
      </c>
      <c r="C6" s="4">
        <v>22000</v>
      </c>
      <c r="D6" s="10" t="s">
        <v>26</v>
      </c>
      <c r="E6" s="12" t="s">
        <v>11</v>
      </c>
      <c r="F6" s="12" t="s">
        <v>25</v>
      </c>
      <c r="I6" s="4">
        <f t="shared" si="0"/>
        <v>0</v>
      </c>
    </row>
    <row r="7" spans="1:11" x14ac:dyDescent="0.25">
      <c r="A7" s="2">
        <v>44204</v>
      </c>
      <c r="B7" t="s">
        <v>35</v>
      </c>
      <c r="C7" s="4">
        <v>7000</v>
      </c>
      <c r="D7" s="10" t="s">
        <v>26</v>
      </c>
      <c r="E7" s="12" t="s">
        <v>11</v>
      </c>
      <c r="F7" s="12" t="s">
        <v>25</v>
      </c>
      <c r="I7" s="4">
        <f t="shared" si="0"/>
        <v>0</v>
      </c>
    </row>
    <row r="8" spans="1:11" x14ac:dyDescent="0.25">
      <c r="A8" s="2">
        <v>44204</v>
      </c>
      <c r="B8" t="s">
        <v>36</v>
      </c>
      <c r="C8" s="4">
        <v>16000</v>
      </c>
      <c r="D8" s="10" t="s">
        <v>26</v>
      </c>
      <c r="E8" s="12" t="s">
        <v>11</v>
      </c>
      <c r="F8" s="12" t="s">
        <v>25</v>
      </c>
      <c r="I8" s="4">
        <f t="shared" si="0"/>
        <v>0</v>
      </c>
    </row>
    <row r="9" spans="1:11" x14ac:dyDescent="0.25">
      <c r="A9" s="2">
        <v>44204</v>
      </c>
      <c r="B9" t="s">
        <v>37</v>
      </c>
      <c r="C9" s="4">
        <v>38000</v>
      </c>
      <c r="D9" s="10" t="s">
        <v>26</v>
      </c>
      <c r="E9" s="12" t="s">
        <v>11</v>
      </c>
      <c r="F9" s="12" t="s">
        <v>25</v>
      </c>
      <c r="I9" s="4">
        <f t="shared" si="0"/>
        <v>0</v>
      </c>
    </row>
    <row r="10" spans="1:11" x14ac:dyDescent="0.25">
      <c r="A10" s="2">
        <v>44204</v>
      </c>
      <c r="B10" t="s">
        <v>38</v>
      </c>
      <c r="C10" s="4">
        <v>7000</v>
      </c>
      <c r="D10" s="10" t="s">
        <v>26</v>
      </c>
      <c r="E10" s="12" t="s">
        <v>11</v>
      </c>
      <c r="F10" s="12" t="s">
        <v>25</v>
      </c>
      <c r="I10" s="4">
        <f t="shared" si="0"/>
        <v>0</v>
      </c>
    </row>
    <row r="11" spans="1:11" x14ac:dyDescent="0.25">
      <c r="A11" s="2">
        <v>44438</v>
      </c>
      <c r="B11" t="s">
        <v>358</v>
      </c>
      <c r="C11" s="4">
        <v>73000</v>
      </c>
      <c r="D11" s="10" t="s">
        <v>26</v>
      </c>
      <c r="E11" s="12" t="s">
        <v>11</v>
      </c>
      <c r="F11" s="12" t="s">
        <v>25</v>
      </c>
      <c r="I11" s="4">
        <f t="shared" si="0"/>
        <v>0</v>
      </c>
    </row>
    <row r="12" spans="1:11" x14ac:dyDescent="0.25">
      <c r="A12" s="2">
        <v>44743</v>
      </c>
      <c r="B12" t="s">
        <v>553</v>
      </c>
      <c r="C12" s="4">
        <v>65000</v>
      </c>
      <c r="D12" s="10" t="s">
        <v>26</v>
      </c>
      <c r="E12" s="12" t="s">
        <v>11</v>
      </c>
      <c r="F12" s="12" t="s">
        <v>25</v>
      </c>
      <c r="I12" s="4">
        <f t="shared" si="0"/>
        <v>0</v>
      </c>
    </row>
    <row r="13" spans="1:11" x14ac:dyDescent="0.25">
      <c r="A13" s="2">
        <v>44746</v>
      </c>
      <c r="B13" t="s">
        <v>655</v>
      </c>
      <c r="C13" s="4">
        <v>25000</v>
      </c>
      <c r="D13" s="10" t="s">
        <v>26</v>
      </c>
      <c r="E13" s="12" t="s">
        <v>11</v>
      </c>
      <c r="F13" s="12" t="s">
        <v>25</v>
      </c>
      <c r="I13" s="4">
        <f t="shared" si="0"/>
        <v>0</v>
      </c>
    </row>
    <row r="14" spans="1:11" x14ac:dyDescent="0.25">
      <c r="A14" s="2">
        <v>44762</v>
      </c>
      <c r="B14" t="s">
        <v>669</v>
      </c>
      <c r="C14" s="4">
        <v>305000</v>
      </c>
      <c r="D14" s="10" t="s">
        <v>26</v>
      </c>
      <c r="E14" s="12" t="s">
        <v>11</v>
      </c>
      <c r="F14" s="12" t="s">
        <v>25</v>
      </c>
      <c r="I14" s="4">
        <f t="shared" si="0"/>
        <v>0</v>
      </c>
    </row>
    <row r="15" spans="1:11" x14ac:dyDescent="0.25">
      <c r="A15" s="2">
        <v>44923</v>
      </c>
      <c r="B15" t="s">
        <v>845</v>
      </c>
      <c r="C15" s="4">
        <v>55000</v>
      </c>
      <c r="D15" s="10" t="s">
        <v>26</v>
      </c>
      <c r="E15" s="12" t="s">
        <v>11</v>
      </c>
      <c r="F15" s="12" t="s">
        <v>25</v>
      </c>
      <c r="I15" s="4">
        <f t="shared" si="0"/>
        <v>0</v>
      </c>
    </row>
    <row r="16" spans="1:11" x14ac:dyDescent="0.25">
      <c r="A16" s="2">
        <v>44923</v>
      </c>
      <c r="B16" t="s">
        <v>846</v>
      </c>
      <c r="C16" s="4">
        <v>250000</v>
      </c>
      <c r="D16" s="10" t="s">
        <v>26</v>
      </c>
      <c r="E16" s="12" t="s">
        <v>11</v>
      </c>
      <c r="F16" s="12" t="s">
        <v>25</v>
      </c>
      <c r="I16" s="4">
        <f t="shared" si="0"/>
        <v>0</v>
      </c>
    </row>
    <row r="17" spans="1:9" x14ac:dyDescent="0.25">
      <c r="A17" s="2">
        <v>45155</v>
      </c>
      <c r="B17" t="s">
        <v>655</v>
      </c>
      <c r="C17" s="4">
        <v>40000</v>
      </c>
      <c r="D17" s="10" t="s">
        <v>26</v>
      </c>
      <c r="F17" s="12" t="s">
        <v>25</v>
      </c>
      <c r="I17" s="4">
        <f t="shared" si="0"/>
        <v>0</v>
      </c>
    </row>
    <row r="18" spans="1:9" x14ac:dyDescent="0.25">
      <c r="A18" s="2">
        <v>45279</v>
      </c>
      <c r="B18" t="s">
        <v>1201</v>
      </c>
      <c r="C18" s="4">
        <v>42000</v>
      </c>
      <c r="D18" s="10" t="s">
        <v>26</v>
      </c>
      <c r="F18" s="12" t="s">
        <v>25</v>
      </c>
      <c r="I18" s="4">
        <f t="shared" si="0"/>
        <v>0</v>
      </c>
    </row>
    <row r="19" spans="1:9" x14ac:dyDescent="0.25">
      <c r="I19" s="4">
        <f t="shared" si="0"/>
        <v>0</v>
      </c>
    </row>
    <row r="20" spans="1:9" x14ac:dyDescent="0.25">
      <c r="I20" s="4">
        <f t="shared" si="0"/>
        <v>0</v>
      </c>
    </row>
    <row r="21" spans="1:9" x14ac:dyDescent="0.25">
      <c r="I21" s="4">
        <f t="shared" si="0"/>
        <v>0</v>
      </c>
    </row>
    <row r="22" spans="1:9" x14ac:dyDescent="0.25">
      <c r="I22" s="4">
        <f t="shared" si="0"/>
        <v>0</v>
      </c>
    </row>
    <row r="23" spans="1:9" x14ac:dyDescent="0.25">
      <c r="I23" s="4">
        <f t="shared" si="0"/>
        <v>0</v>
      </c>
    </row>
    <row r="24" spans="1:9" x14ac:dyDescent="0.25">
      <c r="I24" s="4">
        <f t="shared" si="0"/>
        <v>0</v>
      </c>
    </row>
    <row r="25" spans="1:9" x14ac:dyDescent="0.25">
      <c r="I25" s="4">
        <f t="shared" si="0"/>
        <v>0</v>
      </c>
    </row>
    <row r="26" spans="1:9" x14ac:dyDescent="0.25">
      <c r="I26" s="4">
        <f t="shared" si="0"/>
        <v>0</v>
      </c>
    </row>
    <row r="27" spans="1:9" x14ac:dyDescent="0.25">
      <c r="I27" s="4">
        <f t="shared" si="0"/>
        <v>0</v>
      </c>
    </row>
    <row r="28" spans="1:9" x14ac:dyDescent="0.25">
      <c r="I28" s="4">
        <f t="shared" si="0"/>
        <v>0</v>
      </c>
    </row>
    <row r="29" spans="1:9" x14ac:dyDescent="0.25">
      <c r="I29" s="4">
        <f t="shared" si="0"/>
        <v>0</v>
      </c>
    </row>
    <row r="30" spans="1:9" x14ac:dyDescent="0.25">
      <c r="I30" s="4">
        <f t="shared" si="0"/>
        <v>0</v>
      </c>
    </row>
    <row r="31" spans="1:9" x14ac:dyDescent="0.25">
      <c r="I31" s="4">
        <f t="shared" si="0"/>
        <v>0</v>
      </c>
    </row>
    <row r="32" spans="1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87" priority="6" operator="equal">
      <formula>"PAGADO"</formula>
    </cfRule>
    <cfRule type="cellIs" dxfId="86" priority="7" operator="equal">
      <formula>"PENDIENTE"</formula>
    </cfRule>
    <cfRule type="cellIs" dxfId="85" priority="8" operator="equal">
      <formula>"""PENDIENTE"""</formula>
    </cfRule>
  </conditionalFormatting>
  <conditionalFormatting sqref="E1:E1048576">
    <cfRule type="cellIs" dxfId="84" priority="4" operator="equal">
      <formula>"FACTURADO"</formula>
    </cfRule>
    <cfRule type="cellIs" dxfId="83" priority="5" operator="equal">
      <formula>"NO FACTURADO"</formula>
    </cfRule>
  </conditionalFormatting>
  <conditionalFormatting sqref="F1:F1048576">
    <cfRule type="cellIs" dxfId="82" priority="1" operator="equal">
      <formula>"DELIS"</formula>
    </cfRule>
    <cfRule type="cellIs" dxfId="81" priority="2" operator="equal">
      <formula>"CESAR"</formula>
    </cfRule>
    <cfRule type="cellIs" dxfId="80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O38"/>
  <sheetViews>
    <sheetView workbookViewId="0">
      <selection activeCell="E10" sqref="E10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5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  <c r="M1" t="s">
        <v>414</v>
      </c>
    </row>
    <row r="2" spans="1:15" x14ac:dyDescent="0.25">
      <c r="A2" s="2">
        <v>44212</v>
      </c>
      <c r="B2" t="s">
        <v>65</v>
      </c>
      <c r="C2" s="4">
        <v>4000</v>
      </c>
      <c r="D2" s="10" t="s">
        <v>26</v>
      </c>
      <c r="E2" t="s">
        <v>61</v>
      </c>
      <c r="F2" t="s">
        <v>52</v>
      </c>
      <c r="H2" t="str">
        <f>IF(E:E="NO FACTURADO","PENDIENTE","AL DIA")</f>
        <v>AL DIA</v>
      </c>
      <c r="I2" s="4">
        <f t="shared" ref="I2:I38" si="0">IF(D2="PENDIENTE",C2,0)</f>
        <v>0</v>
      </c>
      <c r="J2" s="4">
        <f>SUM(I:I)</f>
        <v>0</v>
      </c>
      <c r="K2" s="11" t="s">
        <v>121</v>
      </c>
    </row>
    <row r="3" spans="1:15" x14ac:dyDescent="0.25">
      <c r="A3" s="2">
        <v>44212</v>
      </c>
      <c r="B3" t="s">
        <v>60</v>
      </c>
      <c r="C3" s="4">
        <v>20000</v>
      </c>
      <c r="D3" s="10" t="s">
        <v>26</v>
      </c>
      <c r="E3" t="s">
        <v>61</v>
      </c>
      <c r="F3" t="s">
        <v>25</v>
      </c>
      <c r="I3" s="4">
        <f t="shared" si="0"/>
        <v>0</v>
      </c>
    </row>
    <row r="4" spans="1:15" x14ac:dyDescent="0.25">
      <c r="A4" s="2">
        <v>44212</v>
      </c>
      <c r="B4" t="s">
        <v>194</v>
      </c>
      <c r="C4" s="4">
        <v>20000</v>
      </c>
      <c r="D4" s="10" t="s">
        <v>26</v>
      </c>
      <c r="E4" t="s">
        <v>61</v>
      </c>
      <c r="F4" t="s">
        <v>25</v>
      </c>
      <c r="I4" s="4">
        <f t="shared" si="0"/>
        <v>0</v>
      </c>
    </row>
    <row r="5" spans="1:15" x14ac:dyDescent="0.25">
      <c r="A5" s="2">
        <v>44284</v>
      </c>
      <c r="B5" t="s">
        <v>193</v>
      </c>
      <c r="C5" s="4">
        <v>95000</v>
      </c>
      <c r="D5" s="12" t="s">
        <v>26</v>
      </c>
      <c r="E5" s="12" t="s">
        <v>61</v>
      </c>
      <c r="F5" s="12" t="s">
        <v>103</v>
      </c>
      <c r="I5" s="4">
        <f t="shared" si="0"/>
        <v>0</v>
      </c>
    </row>
    <row r="6" spans="1:15" x14ac:dyDescent="0.25">
      <c r="A6" s="2">
        <v>44355</v>
      </c>
      <c r="B6" t="s">
        <v>277</v>
      </c>
      <c r="C6" s="4">
        <v>81500</v>
      </c>
      <c r="D6" s="12" t="s">
        <v>26</v>
      </c>
      <c r="E6" s="12" t="s">
        <v>61</v>
      </c>
      <c r="F6" s="12" t="s">
        <v>25</v>
      </c>
      <c r="I6" s="4">
        <f t="shared" si="0"/>
        <v>0</v>
      </c>
    </row>
    <row r="7" spans="1:15" x14ac:dyDescent="0.25">
      <c r="A7" s="2">
        <v>44438</v>
      </c>
      <c r="B7" t="s">
        <v>359</v>
      </c>
      <c r="C7" s="4">
        <v>25000</v>
      </c>
      <c r="D7" s="12" t="s">
        <v>26</v>
      </c>
      <c r="E7" s="12" t="s">
        <v>360</v>
      </c>
      <c r="F7" s="12" t="s">
        <v>25</v>
      </c>
      <c r="I7" s="4">
        <f t="shared" si="0"/>
        <v>0</v>
      </c>
    </row>
    <row r="8" spans="1:15" x14ac:dyDescent="0.25">
      <c r="A8" s="2">
        <v>44446</v>
      </c>
      <c r="B8" t="s">
        <v>371</v>
      </c>
      <c r="C8" s="4">
        <v>160000</v>
      </c>
      <c r="D8" s="12" t="s">
        <v>26</v>
      </c>
      <c r="E8" s="12" t="s">
        <v>372</v>
      </c>
      <c r="F8" s="12" t="s">
        <v>25</v>
      </c>
      <c r="I8" s="4">
        <f t="shared" si="0"/>
        <v>0</v>
      </c>
    </row>
    <row r="9" spans="1:15" x14ac:dyDescent="0.25">
      <c r="A9" s="2">
        <v>44790</v>
      </c>
      <c r="B9" t="s">
        <v>705</v>
      </c>
      <c r="C9" s="4">
        <v>276000</v>
      </c>
      <c r="D9" s="12" t="s">
        <v>26</v>
      </c>
      <c r="E9" s="12" t="s">
        <v>53</v>
      </c>
      <c r="F9" s="12" t="s">
        <v>10</v>
      </c>
      <c r="I9" s="4">
        <f t="shared" si="0"/>
        <v>0</v>
      </c>
      <c r="M9">
        <v>200000</v>
      </c>
      <c r="N9" s="2">
        <v>44834</v>
      </c>
      <c r="O9" t="s">
        <v>750</v>
      </c>
    </row>
    <row r="10" spans="1:15" x14ac:dyDescent="0.25">
      <c r="B10" t="s">
        <v>749</v>
      </c>
      <c r="C10" s="4">
        <v>76000</v>
      </c>
      <c r="D10" s="12" t="s">
        <v>157</v>
      </c>
      <c r="I10" s="4">
        <f t="shared" si="0"/>
        <v>0</v>
      </c>
    </row>
    <row r="11" spans="1:15" x14ac:dyDescent="0.25">
      <c r="I11" s="4">
        <f t="shared" si="0"/>
        <v>0</v>
      </c>
    </row>
    <row r="12" spans="1:15" x14ac:dyDescent="0.25">
      <c r="I12" s="4">
        <f t="shared" si="0"/>
        <v>0</v>
      </c>
    </row>
    <row r="13" spans="1:15" x14ac:dyDescent="0.25">
      <c r="I13" s="4">
        <f t="shared" si="0"/>
        <v>0</v>
      </c>
    </row>
    <row r="14" spans="1:15" x14ac:dyDescent="0.25">
      <c r="I14" s="4">
        <f t="shared" si="0"/>
        <v>0</v>
      </c>
    </row>
    <row r="15" spans="1:15" x14ac:dyDescent="0.25">
      <c r="I15" s="4">
        <f t="shared" si="0"/>
        <v>0</v>
      </c>
    </row>
    <row r="16" spans="1:15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</sheetData>
  <autoFilter ref="A1:F38"/>
  <conditionalFormatting sqref="D1:D1048576">
    <cfRule type="cellIs" dxfId="79" priority="7" operator="equal">
      <formula>"PAGADO"</formula>
    </cfRule>
    <cfRule type="cellIs" dxfId="78" priority="8" operator="equal">
      <formula>"PENDIENTE"</formula>
    </cfRule>
    <cfRule type="cellIs" dxfId="77" priority="9" operator="equal">
      <formula>"""PENDIENTE"""</formula>
    </cfRule>
  </conditionalFormatting>
  <conditionalFormatting sqref="E1:E1048576">
    <cfRule type="cellIs" dxfId="76" priority="5" operator="equal">
      <formula>"FACTURADO"</formula>
    </cfRule>
    <cfRule type="cellIs" dxfId="75" priority="6" operator="equal">
      <formula>"NO FACTURADO"</formula>
    </cfRule>
  </conditionalFormatting>
  <conditionalFormatting sqref="F1:F1048576">
    <cfRule type="cellIs" dxfId="74" priority="1" operator="equal">
      <formula>"NATALIA"</formula>
    </cfRule>
    <cfRule type="cellIs" dxfId="73" priority="2" operator="equal">
      <formula>"DELIS"</formula>
    </cfRule>
    <cfRule type="cellIs" dxfId="72" priority="3" operator="equal">
      <formula>"CESAR"</formula>
    </cfRule>
    <cfRule type="cellIs" dxfId="71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C2" s="4">
        <v>9000</v>
      </c>
      <c r="D2" s="10" t="s">
        <v>157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44268</v>
      </c>
      <c r="B3" t="s">
        <v>596</v>
      </c>
      <c r="C3" s="4">
        <v>33000</v>
      </c>
      <c r="D3" s="10" t="s">
        <v>157</v>
      </c>
      <c r="E3" t="s">
        <v>22</v>
      </c>
      <c r="F3" t="s">
        <v>25</v>
      </c>
      <c r="I3" s="4">
        <f t="shared" si="0"/>
        <v>0</v>
      </c>
    </row>
    <row r="4" spans="1:11" x14ac:dyDescent="0.25">
      <c r="A4" s="2">
        <v>44268</v>
      </c>
      <c r="B4" t="s">
        <v>174</v>
      </c>
      <c r="C4" s="4">
        <v>8000</v>
      </c>
      <c r="D4" t="s">
        <v>157</v>
      </c>
      <c r="E4" t="s">
        <v>22</v>
      </c>
      <c r="F4" t="s">
        <v>10</v>
      </c>
      <c r="H4" t="s">
        <v>214</v>
      </c>
      <c r="I4" s="4">
        <f t="shared" si="0"/>
        <v>0</v>
      </c>
    </row>
    <row r="5" spans="1:11" x14ac:dyDescent="0.25">
      <c r="A5" s="2">
        <v>44660</v>
      </c>
      <c r="B5" t="s">
        <v>597</v>
      </c>
      <c r="C5" s="4">
        <v>32000</v>
      </c>
      <c r="D5" s="12" t="s">
        <v>157</v>
      </c>
      <c r="F5" s="12" t="s">
        <v>10</v>
      </c>
      <c r="I5" s="4">
        <f t="shared" si="0"/>
        <v>0</v>
      </c>
    </row>
    <row r="6" spans="1:11" x14ac:dyDescent="0.25">
      <c r="A6" s="2">
        <v>44884</v>
      </c>
      <c r="B6" t="s">
        <v>797</v>
      </c>
      <c r="C6" s="4">
        <v>12000</v>
      </c>
      <c r="D6" s="12" t="s">
        <v>157</v>
      </c>
      <c r="F6" s="12" t="s">
        <v>10</v>
      </c>
      <c r="I6" s="4">
        <f t="shared" si="0"/>
        <v>0</v>
      </c>
    </row>
    <row r="7" spans="1:11" x14ac:dyDescent="0.25">
      <c r="A7" s="2">
        <v>44910</v>
      </c>
      <c r="B7" t="s">
        <v>826</v>
      </c>
      <c r="C7" s="4">
        <v>19000</v>
      </c>
      <c r="D7" s="12" t="s">
        <v>157</v>
      </c>
      <c r="F7" s="12" t="s">
        <v>10</v>
      </c>
      <c r="I7" s="4">
        <f t="shared" si="0"/>
        <v>0</v>
      </c>
    </row>
    <row r="8" spans="1:11" x14ac:dyDescent="0.25">
      <c r="A8" s="2">
        <v>44910</v>
      </c>
      <c r="B8" t="s">
        <v>827</v>
      </c>
      <c r="C8" s="4">
        <v>10000</v>
      </c>
      <c r="D8" s="12" t="s">
        <v>157</v>
      </c>
      <c r="F8" s="12" t="s">
        <v>10</v>
      </c>
      <c r="I8" s="4">
        <f t="shared" si="0"/>
        <v>0</v>
      </c>
    </row>
    <row r="9" spans="1:11" x14ac:dyDescent="0.25">
      <c r="A9" s="2">
        <v>45106</v>
      </c>
      <c r="B9" t="s">
        <v>1064</v>
      </c>
      <c r="C9" s="4">
        <v>20000</v>
      </c>
      <c r="D9" s="12" t="s">
        <v>157</v>
      </c>
      <c r="F9" s="12" t="s">
        <v>10</v>
      </c>
      <c r="I9" s="4">
        <f t="shared" si="0"/>
        <v>0</v>
      </c>
    </row>
    <row r="10" spans="1:11" x14ac:dyDescent="0.25">
      <c r="A10" s="2">
        <v>45177</v>
      </c>
      <c r="B10" t="s">
        <v>1089</v>
      </c>
      <c r="C10" s="4">
        <v>24000</v>
      </c>
      <c r="D10" s="12" t="s">
        <v>157</v>
      </c>
      <c r="F10" s="12" t="s">
        <v>10</v>
      </c>
      <c r="I10" s="4">
        <f t="shared" si="0"/>
        <v>0</v>
      </c>
    </row>
    <row r="11" spans="1:11" x14ac:dyDescent="0.25">
      <c r="A11" s="2">
        <v>45177</v>
      </c>
      <c r="B11" t="s">
        <v>1090</v>
      </c>
      <c r="C11" s="4">
        <v>50000</v>
      </c>
      <c r="D11" s="12" t="s">
        <v>157</v>
      </c>
      <c r="F11" s="12" t="s">
        <v>10</v>
      </c>
      <c r="I11" s="4">
        <f t="shared" si="0"/>
        <v>0</v>
      </c>
    </row>
    <row r="12" spans="1:11" x14ac:dyDescent="0.25">
      <c r="A12" s="2">
        <v>45181</v>
      </c>
      <c r="B12" t="s">
        <v>1095</v>
      </c>
      <c r="C12" s="4">
        <v>8000</v>
      </c>
      <c r="D12" s="12" t="s">
        <v>157</v>
      </c>
      <c r="F12" s="12" t="s">
        <v>10</v>
      </c>
      <c r="I12" s="4">
        <f t="shared" si="0"/>
        <v>0</v>
      </c>
    </row>
    <row r="13" spans="1:11" x14ac:dyDescent="0.25">
      <c r="A13" s="2">
        <v>45232</v>
      </c>
      <c r="B13" t="s">
        <v>1151</v>
      </c>
      <c r="C13" s="4">
        <v>24000</v>
      </c>
      <c r="D13" s="12" t="s">
        <v>157</v>
      </c>
      <c r="F13" s="12" t="s">
        <v>10</v>
      </c>
      <c r="I13" s="4">
        <f t="shared" si="0"/>
        <v>0</v>
      </c>
    </row>
    <row r="14" spans="1:11" x14ac:dyDescent="0.25">
      <c r="A14" s="2">
        <v>45481</v>
      </c>
      <c r="B14" t="s">
        <v>1389</v>
      </c>
      <c r="C14" s="4">
        <v>35000</v>
      </c>
      <c r="D14" s="12" t="s">
        <v>157</v>
      </c>
      <c r="F14" s="12" t="s">
        <v>10</v>
      </c>
      <c r="I14" s="4">
        <f t="shared" si="0"/>
        <v>0</v>
      </c>
    </row>
    <row r="15" spans="1:11" x14ac:dyDescent="0.25">
      <c r="A15" s="2">
        <v>45485</v>
      </c>
      <c r="B15" t="s">
        <v>1396</v>
      </c>
      <c r="C15" s="4">
        <v>5000</v>
      </c>
      <c r="D15" s="12" t="s">
        <v>157</v>
      </c>
      <c r="E15" s="12"/>
      <c r="F15" s="12" t="s">
        <v>10</v>
      </c>
      <c r="I15" s="4">
        <f>IF(E15="PENDIENTE",C15,0)</f>
        <v>0</v>
      </c>
    </row>
    <row r="16" spans="1:11" x14ac:dyDescent="0.25">
      <c r="A16" s="2">
        <v>45516</v>
      </c>
      <c r="B16" t="s">
        <v>1411</v>
      </c>
      <c r="C16" s="4">
        <v>30000</v>
      </c>
      <c r="D16" s="12" t="s">
        <v>157</v>
      </c>
      <c r="I16" s="4">
        <f t="shared" si="0"/>
        <v>0</v>
      </c>
    </row>
    <row r="17" spans="1:9" x14ac:dyDescent="0.25">
      <c r="A17" s="2">
        <v>45532</v>
      </c>
      <c r="B17" t="s">
        <v>1421</v>
      </c>
      <c r="C17" s="4">
        <v>30000</v>
      </c>
      <c r="D17" s="12" t="s">
        <v>157</v>
      </c>
      <c r="I17" s="4">
        <f t="shared" si="0"/>
        <v>0</v>
      </c>
    </row>
    <row r="18" spans="1:9" x14ac:dyDescent="0.25">
      <c r="A18" s="2">
        <v>45507</v>
      </c>
      <c r="B18" t="s">
        <v>1426</v>
      </c>
      <c r="C18" s="4">
        <v>100000</v>
      </c>
      <c r="D18" s="12" t="s">
        <v>157</v>
      </c>
      <c r="I18" s="4">
        <f t="shared" si="0"/>
        <v>0</v>
      </c>
    </row>
    <row r="19" spans="1:9" x14ac:dyDescent="0.25">
      <c r="I19" s="4">
        <f t="shared" si="0"/>
        <v>0</v>
      </c>
    </row>
    <row r="20" spans="1:9" x14ac:dyDescent="0.25">
      <c r="I20" s="4">
        <f t="shared" si="0"/>
        <v>0</v>
      </c>
    </row>
    <row r="21" spans="1:9" x14ac:dyDescent="0.25">
      <c r="I21" s="4">
        <f t="shared" si="0"/>
        <v>0</v>
      </c>
    </row>
    <row r="22" spans="1:9" x14ac:dyDescent="0.25">
      <c r="I22" s="4">
        <f t="shared" si="0"/>
        <v>0</v>
      </c>
    </row>
    <row r="23" spans="1:9" x14ac:dyDescent="0.25">
      <c r="I23" s="4">
        <f t="shared" si="0"/>
        <v>0</v>
      </c>
    </row>
    <row r="24" spans="1:9" x14ac:dyDescent="0.25">
      <c r="I24" s="4">
        <f t="shared" si="0"/>
        <v>0</v>
      </c>
    </row>
    <row r="25" spans="1:9" x14ac:dyDescent="0.25">
      <c r="I25" s="4">
        <f t="shared" si="0"/>
        <v>0</v>
      </c>
    </row>
    <row r="26" spans="1:9" x14ac:dyDescent="0.25">
      <c r="I26" s="4">
        <f t="shared" si="0"/>
        <v>0</v>
      </c>
    </row>
    <row r="27" spans="1:9" x14ac:dyDescent="0.25">
      <c r="I27" s="4">
        <f t="shared" si="0"/>
        <v>0</v>
      </c>
    </row>
    <row r="28" spans="1:9" x14ac:dyDescent="0.25">
      <c r="I28" s="4">
        <f t="shared" si="0"/>
        <v>0</v>
      </c>
    </row>
    <row r="29" spans="1:9" x14ac:dyDescent="0.25">
      <c r="I29" s="4">
        <f t="shared" si="0"/>
        <v>0</v>
      </c>
    </row>
    <row r="30" spans="1:9" x14ac:dyDescent="0.25">
      <c r="I30" s="4">
        <f t="shared" si="0"/>
        <v>0</v>
      </c>
    </row>
    <row r="31" spans="1:9" x14ac:dyDescent="0.25">
      <c r="I31" s="4">
        <f t="shared" si="0"/>
        <v>0</v>
      </c>
    </row>
    <row r="32" spans="1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E15 D1:D1048576">
    <cfRule type="cellIs" dxfId="70" priority="7" operator="equal">
      <formula>"PAGADO"</formula>
    </cfRule>
    <cfRule type="cellIs" dxfId="69" priority="8" operator="equal">
      <formula>"PENDIENTE"</formula>
    </cfRule>
    <cfRule type="cellIs" dxfId="68" priority="9" operator="equal">
      <formula>"""PENDIENTE"""</formula>
    </cfRule>
  </conditionalFormatting>
  <conditionalFormatting sqref="E1:E14 E16:E1048576">
    <cfRule type="cellIs" dxfId="67" priority="5" operator="equal">
      <formula>"FACTURADO"</formula>
    </cfRule>
    <cfRule type="cellIs" dxfId="66" priority="6" operator="equal">
      <formula>"NO FACTURADO"</formula>
    </cfRule>
  </conditionalFormatting>
  <conditionalFormatting sqref="F1:F1048576">
    <cfRule type="cellIs" dxfId="65" priority="1" operator="equal">
      <formula>"NATALIA"</formula>
    </cfRule>
    <cfRule type="cellIs" dxfId="64" priority="2" operator="equal">
      <formula>"DELIS"</formula>
    </cfRule>
    <cfRule type="cellIs" dxfId="63" priority="3" operator="equal">
      <formula>"CESAR"</formula>
    </cfRule>
    <cfRule type="cellIs" dxfId="62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39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C2" s="4">
        <v>303500</v>
      </c>
      <c r="D2" s="10" t="s">
        <v>7</v>
      </c>
      <c r="E2" t="s">
        <v>22</v>
      </c>
      <c r="F2" t="s">
        <v>52</v>
      </c>
      <c r="H2" t="str">
        <f t="shared" ref="H2:H24" si="0">IF(E:E="NO FACTURADO","PENDIENTE","AL DIA")</f>
        <v>AL DIA</v>
      </c>
      <c r="I2" s="4">
        <f t="shared" ref="I2:I39" si="1">IF(D2="PENDIENTE",C2,0)</f>
        <v>303500</v>
      </c>
      <c r="J2" s="4">
        <f>SUM(I:I)</f>
        <v>393500</v>
      </c>
      <c r="K2" s="11" t="s">
        <v>121</v>
      </c>
    </row>
    <row r="3" spans="1:11" x14ac:dyDescent="0.25">
      <c r="A3" s="2">
        <v>44235</v>
      </c>
      <c r="B3" t="s">
        <v>100</v>
      </c>
      <c r="C3" s="4">
        <v>101000</v>
      </c>
      <c r="D3" s="10" t="s">
        <v>26</v>
      </c>
      <c r="E3" t="s">
        <v>11</v>
      </c>
      <c r="F3" t="s">
        <v>25</v>
      </c>
      <c r="H3" t="str">
        <f t="shared" si="0"/>
        <v>PENDIENTE</v>
      </c>
      <c r="I3" s="4">
        <f t="shared" si="1"/>
        <v>0</v>
      </c>
    </row>
    <row r="4" spans="1:11" x14ac:dyDescent="0.25">
      <c r="A4" s="2">
        <v>44239</v>
      </c>
      <c r="B4" t="s">
        <v>130</v>
      </c>
      <c r="C4" s="4">
        <v>240000</v>
      </c>
      <c r="D4" s="10" t="s">
        <v>26</v>
      </c>
      <c r="E4" t="s">
        <v>11</v>
      </c>
      <c r="F4" t="s">
        <v>25</v>
      </c>
      <c r="H4" t="str">
        <f t="shared" si="0"/>
        <v>PENDIENTE</v>
      </c>
      <c r="I4" s="4">
        <f t="shared" si="1"/>
        <v>0</v>
      </c>
    </row>
    <row r="5" spans="1:11" x14ac:dyDescent="0.25">
      <c r="A5" s="2">
        <v>44277</v>
      </c>
      <c r="C5" s="4">
        <v>60000</v>
      </c>
      <c r="D5" s="10" t="s">
        <v>26</v>
      </c>
      <c r="E5" t="s">
        <v>11</v>
      </c>
      <c r="F5" t="s">
        <v>25</v>
      </c>
      <c r="H5" t="str">
        <f t="shared" si="0"/>
        <v>PENDIENTE</v>
      </c>
      <c r="I5" s="4">
        <f t="shared" si="1"/>
        <v>0</v>
      </c>
    </row>
    <row r="6" spans="1:11" x14ac:dyDescent="0.25">
      <c r="A6" s="2">
        <v>44280</v>
      </c>
      <c r="B6" t="s">
        <v>186</v>
      </c>
      <c r="C6" s="4">
        <v>7000</v>
      </c>
      <c r="D6" s="12" t="s">
        <v>7</v>
      </c>
      <c r="E6" t="s">
        <v>11</v>
      </c>
      <c r="F6" t="s">
        <v>25</v>
      </c>
      <c r="H6" t="str">
        <f t="shared" si="0"/>
        <v>PENDIENTE</v>
      </c>
      <c r="I6" s="4">
        <f t="shared" si="1"/>
        <v>7000</v>
      </c>
    </row>
    <row r="7" spans="1:11" x14ac:dyDescent="0.25">
      <c r="A7" s="2">
        <v>44280</v>
      </c>
      <c r="B7" t="s">
        <v>187</v>
      </c>
      <c r="C7" s="4">
        <v>262000</v>
      </c>
      <c r="D7" s="12" t="s">
        <v>26</v>
      </c>
      <c r="E7" t="s">
        <v>11</v>
      </c>
      <c r="F7" t="s">
        <v>25</v>
      </c>
      <c r="H7" t="str">
        <f t="shared" si="0"/>
        <v>PENDIENTE</v>
      </c>
      <c r="I7" s="4">
        <f t="shared" si="1"/>
        <v>0</v>
      </c>
    </row>
    <row r="8" spans="1:11" x14ac:dyDescent="0.25">
      <c r="A8" s="2">
        <v>44327</v>
      </c>
      <c r="B8" t="s">
        <v>247</v>
      </c>
      <c r="C8" s="4">
        <v>12000</v>
      </c>
      <c r="D8" s="12" t="s">
        <v>26</v>
      </c>
      <c r="E8" t="s">
        <v>11</v>
      </c>
      <c r="F8" t="s">
        <v>25</v>
      </c>
      <c r="H8" t="str">
        <f t="shared" si="0"/>
        <v>PENDIENTE</v>
      </c>
      <c r="I8" s="4">
        <f t="shared" si="1"/>
        <v>0</v>
      </c>
    </row>
    <row r="9" spans="1:11" x14ac:dyDescent="0.25">
      <c r="A9" s="2">
        <v>44351</v>
      </c>
      <c r="B9" t="s">
        <v>271</v>
      </c>
      <c r="C9" s="4">
        <v>14000</v>
      </c>
      <c r="D9" s="12" t="s">
        <v>26</v>
      </c>
      <c r="E9" t="s">
        <v>11</v>
      </c>
      <c r="F9" t="s">
        <v>25</v>
      </c>
      <c r="H9" t="str">
        <f t="shared" si="0"/>
        <v>PENDIENTE</v>
      </c>
      <c r="I9" s="4">
        <f t="shared" si="1"/>
        <v>0</v>
      </c>
    </row>
    <row r="10" spans="1:11" x14ac:dyDescent="0.25">
      <c r="A10" s="2">
        <v>44418</v>
      </c>
      <c r="B10" t="s">
        <v>348</v>
      </c>
      <c r="C10" s="4">
        <v>8000</v>
      </c>
      <c r="D10" s="12" t="s">
        <v>26</v>
      </c>
      <c r="E10" t="s">
        <v>11</v>
      </c>
      <c r="F10" t="s">
        <v>25</v>
      </c>
      <c r="H10" t="str">
        <f t="shared" si="0"/>
        <v>PENDIENTE</v>
      </c>
      <c r="I10" s="4">
        <f t="shared" si="1"/>
        <v>0</v>
      </c>
    </row>
    <row r="11" spans="1:11" x14ac:dyDescent="0.25">
      <c r="A11" s="2">
        <v>44495</v>
      </c>
      <c r="B11" t="s">
        <v>410</v>
      </c>
      <c r="C11" s="4">
        <v>20000</v>
      </c>
      <c r="D11" s="12" t="s">
        <v>26</v>
      </c>
      <c r="E11" t="s">
        <v>11</v>
      </c>
      <c r="F11" t="s">
        <v>25</v>
      </c>
      <c r="H11" t="str">
        <f t="shared" si="0"/>
        <v>PENDIENTE</v>
      </c>
      <c r="I11" s="4">
        <f t="shared" si="1"/>
        <v>0</v>
      </c>
    </row>
    <row r="12" spans="1:11" x14ac:dyDescent="0.25">
      <c r="A12" s="2">
        <v>44495</v>
      </c>
      <c r="B12" t="s">
        <v>411</v>
      </c>
      <c r="C12" s="4">
        <v>95000</v>
      </c>
      <c r="D12" s="12" t="s">
        <v>421</v>
      </c>
      <c r="E12" t="s">
        <v>11</v>
      </c>
      <c r="F12" t="s">
        <v>25</v>
      </c>
      <c r="H12" t="str">
        <f t="shared" si="0"/>
        <v>PENDIENTE</v>
      </c>
      <c r="I12" s="4">
        <f t="shared" si="1"/>
        <v>0</v>
      </c>
    </row>
    <row r="13" spans="1:11" x14ac:dyDescent="0.25">
      <c r="A13" s="2">
        <v>44495</v>
      </c>
      <c r="B13" t="s">
        <v>412</v>
      </c>
      <c r="C13" s="4">
        <v>35000</v>
      </c>
      <c r="D13" s="12" t="s">
        <v>26</v>
      </c>
      <c r="E13" t="s">
        <v>11</v>
      </c>
      <c r="F13" t="s">
        <v>25</v>
      </c>
      <c r="H13" t="str">
        <f t="shared" si="0"/>
        <v>PENDIENTE</v>
      </c>
      <c r="I13" s="4">
        <f t="shared" si="1"/>
        <v>0</v>
      </c>
    </row>
    <row r="14" spans="1:11" x14ac:dyDescent="0.25">
      <c r="A14" s="2">
        <v>44518</v>
      </c>
      <c r="B14" t="s">
        <v>426</v>
      </c>
      <c r="C14" s="4">
        <v>8000</v>
      </c>
      <c r="D14" s="12" t="s">
        <v>7</v>
      </c>
      <c r="E14" t="s">
        <v>11</v>
      </c>
      <c r="F14" t="s">
        <v>25</v>
      </c>
      <c r="H14" t="str">
        <f t="shared" si="0"/>
        <v>PENDIENTE</v>
      </c>
      <c r="I14" s="4">
        <f t="shared" si="1"/>
        <v>8000</v>
      </c>
    </row>
    <row r="15" spans="1:11" x14ac:dyDescent="0.25">
      <c r="A15" s="2">
        <v>44529</v>
      </c>
      <c r="B15" t="s">
        <v>436</v>
      </c>
      <c r="C15" s="4">
        <v>138000</v>
      </c>
      <c r="D15" s="12" t="s">
        <v>157</v>
      </c>
      <c r="E15" t="s">
        <v>390</v>
      </c>
      <c r="F15" t="s">
        <v>229</v>
      </c>
      <c r="H15" t="str">
        <f t="shared" si="0"/>
        <v>PENDIENTE</v>
      </c>
      <c r="I15" s="4">
        <f t="shared" si="1"/>
        <v>0</v>
      </c>
    </row>
    <row r="16" spans="1:11" x14ac:dyDescent="0.25">
      <c r="A16" s="2">
        <v>44537</v>
      </c>
      <c r="B16" t="s">
        <v>443</v>
      </c>
      <c r="C16" s="4">
        <v>37000</v>
      </c>
      <c r="D16" s="12" t="s">
        <v>470</v>
      </c>
      <c r="F16" t="s">
        <v>25</v>
      </c>
      <c r="H16" t="s">
        <v>7</v>
      </c>
      <c r="I16" s="4">
        <f t="shared" si="1"/>
        <v>0</v>
      </c>
    </row>
    <row r="17" spans="1:9" x14ac:dyDescent="0.25">
      <c r="A17" s="2">
        <v>44546</v>
      </c>
      <c r="B17" t="s">
        <v>454</v>
      </c>
      <c r="C17" s="4">
        <v>75000</v>
      </c>
      <c r="D17" s="12" t="s">
        <v>7</v>
      </c>
      <c r="F17" t="s">
        <v>25</v>
      </c>
      <c r="H17" t="str">
        <f t="shared" si="0"/>
        <v>AL DIA</v>
      </c>
      <c r="I17" s="4">
        <f t="shared" si="1"/>
        <v>75000</v>
      </c>
    </row>
    <row r="18" spans="1:9" x14ac:dyDescent="0.25">
      <c r="A18" s="2">
        <v>44817</v>
      </c>
      <c r="B18" t="s">
        <v>732</v>
      </c>
      <c r="C18" s="4">
        <v>52000</v>
      </c>
      <c r="D18" s="12" t="s">
        <v>26</v>
      </c>
      <c r="F18" t="s">
        <v>25</v>
      </c>
      <c r="H18" t="str">
        <f t="shared" si="0"/>
        <v>AL DIA</v>
      </c>
      <c r="I18" s="4">
        <f t="shared" si="1"/>
        <v>0</v>
      </c>
    </row>
    <row r="19" spans="1:9" x14ac:dyDescent="0.25">
      <c r="A19" s="2">
        <v>44826</v>
      </c>
      <c r="B19" t="s">
        <v>742</v>
      </c>
      <c r="C19" s="4">
        <v>56000</v>
      </c>
      <c r="D19" s="12" t="s">
        <v>26</v>
      </c>
      <c r="F19" t="s">
        <v>25</v>
      </c>
      <c r="H19" t="str">
        <f t="shared" si="0"/>
        <v>AL DIA</v>
      </c>
      <c r="I19" s="4">
        <f t="shared" si="1"/>
        <v>0</v>
      </c>
    </row>
    <row r="20" spans="1:9" x14ac:dyDescent="0.25">
      <c r="A20" s="2">
        <v>44972</v>
      </c>
      <c r="B20" t="s">
        <v>875</v>
      </c>
      <c r="C20" s="4">
        <v>0</v>
      </c>
      <c r="D20" s="12" t="s">
        <v>26</v>
      </c>
      <c r="F20" t="s">
        <v>25</v>
      </c>
      <c r="H20" t="str">
        <f t="shared" si="0"/>
        <v>AL DIA</v>
      </c>
      <c r="I20" s="4">
        <f t="shared" si="1"/>
        <v>0</v>
      </c>
    </row>
    <row r="21" spans="1:9" x14ac:dyDescent="0.25">
      <c r="H21" t="str">
        <f t="shared" si="0"/>
        <v>AL DIA</v>
      </c>
      <c r="I21" s="4">
        <f t="shared" si="1"/>
        <v>0</v>
      </c>
    </row>
    <row r="22" spans="1:9" x14ac:dyDescent="0.25">
      <c r="H22" t="str">
        <f t="shared" si="0"/>
        <v>AL DIA</v>
      </c>
      <c r="I22" s="4">
        <f t="shared" si="1"/>
        <v>0</v>
      </c>
    </row>
    <row r="23" spans="1:9" x14ac:dyDescent="0.25">
      <c r="H23" t="str">
        <f t="shared" si="0"/>
        <v>AL DIA</v>
      </c>
      <c r="I23" s="4">
        <f t="shared" si="1"/>
        <v>0</v>
      </c>
    </row>
    <row r="24" spans="1:9" x14ac:dyDescent="0.25">
      <c r="H24" t="str">
        <f t="shared" si="0"/>
        <v>AL DIA</v>
      </c>
      <c r="I24" s="4">
        <f t="shared" si="1"/>
        <v>0</v>
      </c>
    </row>
    <row r="25" spans="1:9" x14ac:dyDescent="0.25">
      <c r="I25" s="4">
        <f t="shared" si="1"/>
        <v>0</v>
      </c>
    </row>
    <row r="26" spans="1:9" x14ac:dyDescent="0.25">
      <c r="I26" s="4">
        <f t="shared" si="1"/>
        <v>0</v>
      </c>
    </row>
    <row r="27" spans="1:9" x14ac:dyDescent="0.25">
      <c r="I27" s="4">
        <f t="shared" si="1"/>
        <v>0</v>
      </c>
    </row>
    <row r="28" spans="1:9" x14ac:dyDescent="0.25">
      <c r="I28" s="4">
        <f t="shared" si="1"/>
        <v>0</v>
      </c>
    </row>
    <row r="29" spans="1:9" x14ac:dyDescent="0.25">
      <c r="I29" s="4">
        <f t="shared" si="1"/>
        <v>0</v>
      </c>
    </row>
    <row r="30" spans="1:9" x14ac:dyDescent="0.25">
      <c r="I30" s="4">
        <f t="shared" si="1"/>
        <v>0</v>
      </c>
    </row>
    <row r="31" spans="1:9" x14ac:dyDescent="0.25">
      <c r="I31" s="4">
        <f t="shared" si="1"/>
        <v>0</v>
      </c>
    </row>
    <row r="32" spans="1:9" x14ac:dyDescent="0.25">
      <c r="I32" s="4">
        <f t="shared" si="1"/>
        <v>0</v>
      </c>
    </row>
    <row r="33" spans="9:9" x14ac:dyDescent="0.25">
      <c r="I33" s="4">
        <f t="shared" si="1"/>
        <v>0</v>
      </c>
    </row>
    <row r="34" spans="9:9" x14ac:dyDescent="0.25">
      <c r="I34" s="4">
        <f t="shared" si="1"/>
        <v>0</v>
      </c>
    </row>
    <row r="35" spans="9:9" x14ac:dyDescent="0.25">
      <c r="I35" s="4">
        <f t="shared" si="1"/>
        <v>0</v>
      </c>
    </row>
    <row r="36" spans="9:9" x14ac:dyDescent="0.25">
      <c r="I36" s="4">
        <f t="shared" si="1"/>
        <v>0</v>
      </c>
    </row>
    <row r="37" spans="9:9" x14ac:dyDescent="0.25">
      <c r="I37" s="4">
        <f t="shared" si="1"/>
        <v>0</v>
      </c>
    </row>
    <row r="38" spans="9:9" x14ac:dyDescent="0.25">
      <c r="I38" s="4">
        <f t="shared" si="1"/>
        <v>0</v>
      </c>
    </row>
    <row r="39" spans="9:9" x14ac:dyDescent="0.25">
      <c r="I39" s="4">
        <f t="shared" si="1"/>
        <v>0</v>
      </c>
    </row>
  </sheetData>
  <autoFilter ref="A1:F39"/>
  <conditionalFormatting sqref="D1:D1048576">
    <cfRule type="cellIs" dxfId="61" priority="6" operator="equal">
      <formula>"PAGADO"</formula>
    </cfRule>
    <cfRule type="cellIs" dxfId="60" priority="7" operator="equal">
      <formula>"PENDIENTE"</formula>
    </cfRule>
    <cfRule type="cellIs" dxfId="59" priority="8" operator="equal">
      <formula>"""PENDIENTE"""</formula>
    </cfRule>
  </conditionalFormatting>
  <conditionalFormatting sqref="E1:E1048576">
    <cfRule type="cellIs" dxfId="58" priority="4" operator="equal">
      <formula>"FACTURADO"</formula>
    </cfRule>
    <cfRule type="cellIs" dxfId="57" priority="5" operator="equal">
      <formula>"NO FACTURADO"</formula>
    </cfRule>
  </conditionalFormatting>
  <conditionalFormatting sqref="F1:F1048576">
    <cfRule type="cellIs" dxfId="56" priority="1" operator="equal">
      <formula>"DELIS"</formula>
    </cfRule>
    <cfRule type="cellIs" dxfId="55" priority="2" operator="equal">
      <formula>"CESAR"</formula>
    </cfRule>
    <cfRule type="cellIs" dxfId="54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1:M39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>
        <v>44265</v>
      </c>
      <c r="C2" s="4">
        <v>90000</v>
      </c>
      <c r="D2" s="10" t="s">
        <v>26</v>
      </c>
      <c r="F2" t="s">
        <v>52</v>
      </c>
      <c r="I2" s="4">
        <f t="shared" ref="I2:I39" si="0">IF(D2="PENDIENTE",C2,0)</f>
        <v>0</v>
      </c>
      <c r="J2" s="4"/>
      <c r="K2" s="11" t="s">
        <v>121</v>
      </c>
    </row>
    <row r="3" spans="1:11" x14ac:dyDescent="0.25">
      <c r="A3" s="2">
        <v>44267</v>
      </c>
      <c r="B3" t="s">
        <v>171</v>
      </c>
      <c r="C3" s="4">
        <v>13000</v>
      </c>
      <c r="D3" s="7" t="s">
        <v>26</v>
      </c>
      <c r="E3" t="s">
        <v>27</v>
      </c>
      <c r="F3" t="s">
        <v>25</v>
      </c>
      <c r="H3" t="s">
        <v>175</v>
      </c>
      <c r="I3" s="4">
        <f t="shared" si="0"/>
        <v>0</v>
      </c>
    </row>
    <row r="4" spans="1:11" x14ac:dyDescent="0.25">
      <c r="A4" s="2">
        <v>44412</v>
      </c>
      <c r="B4" t="s">
        <v>340</v>
      </c>
      <c r="C4" s="4">
        <v>15000</v>
      </c>
      <c r="D4" t="s">
        <v>26</v>
      </c>
      <c r="E4" t="s">
        <v>27</v>
      </c>
      <c r="F4" t="s">
        <v>10</v>
      </c>
      <c r="I4" s="4">
        <f t="shared" si="0"/>
        <v>0</v>
      </c>
    </row>
    <row r="5" spans="1:11" x14ac:dyDescent="0.25">
      <c r="A5" s="2">
        <v>44438</v>
      </c>
      <c r="B5" t="s">
        <v>361</v>
      </c>
      <c r="C5" s="4">
        <v>8000</v>
      </c>
      <c r="D5" t="s">
        <v>26</v>
      </c>
      <c r="E5" s="12" t="s">
        <v>27</v>
      </c>
      <c r="F5" s="12" t="s">
        <v>25</v>
      </c>
      <c r="I5" s="4">
        <f t="shared" si="0"/>
        <v>0</v>
      </c>
    </row>
    <row r="6" spans="1:11" x14ac:dyDescent="0.25">
      <c r="A6" s="2">
        <v>44476</v>
      </c>
      <c r="B6" t="s">
        <v>389</v>
      </c>
      <c r="C6" s="4">
        <v>57000</v>
      </c>
      <c r="D6" s="12" t="s">
        <v>26</v>
      </c>
      <c r="E6" s="12" t="s">
        <v>390</v>
      </c>
      <c r="F6" s="12" t="s">
        <v>25</v>
      </c>
      <c r="I6" s="4">
        <f t="shared" si="0"/>
        <v>0</v>
      </c>
    </row>
    <row r="7" spans="1:11" x14ac:dyDescent="0.25">
      <c r="A7" s="2">
        <v>44518</v>
      </c>
      <c r="B7" t="s">
        <v>425</v>
      </c>
      <c r="C7" s="4">
        <v>53000</v>
      </c>
      <c r="D7" s="12" t="s">
        <v>157</v>
      </c>
      <c r="E7" s="12" t="s">
        <v>390</v>
      </c>
      <c r="F7" s="12" t="s">
        <v>52</v>
      </c>
      <c r="I7" s="4">
        <f t="shared" si="0"/>
        <v>0</v>
      </c>
    </row>
    <row r="8" spans="1:11" x14ac:dyDescent="0.25">
      <c r="A8" s="2">
        <v>44536</v>
      </c>
      <c r="B8" t="s">
        <v>441</v>
      </c>
      <c r="C8" s="4">
        <v>22000</v>
      </c>
      <c r="D8" s="12" t="s">
        <v>26</v>
      </c>
      <c r="F8" s="12" t="s">
        <v>25</v>
      </c>
      <c r="I8" s="4">
        <f t="shared" si="0"/>
        <v>0</v>
      </c>
    </row>
    <row r="9" spans="1:11" x14ac:dyDescent="0.25">
      <c r="A9" s="2">
        <v>44536</v>
      </c>
      <c r="B9" t="s">
        <v>442</v>
      </c>
      <c r="C9" s="4">
        <v>15000</v>
      </c>
      <c r="D9" s="12" t="s">
        <v>157</v>
      </c>
      <c r="F9" s="12" t="s">
        <v>25</v>
      </c>
      <c r="I9" s="4">
        <f t="shared" si="0"/>
        <v>0</v>
      </c>
    </row>
    <row r="10" spans="1:11" x14ac:dyDescent="0.25">
      <c r="A10" t="s">
        <v>447</v>
      </c>
      <c r="B10" t="s">
        <v>448</v>
      </c>
      <c r="C10" s="4">
        <v>10000</v>
      </c>
      <c r="D10" s="12" t="s">
        <v>26</v>
      </c>
      <c r="F10" s="12" t="s">
        <v>25</v>
      </c>
      <c r="I10" s="4">
        <f t="shared" si="0"/>
        <v>0</v>
      </c>
    </row>
    <row r="11" spans="1:11" x14ac:dyDescent="0.25">
      <c r="A11" s="2">
        <v>44551</v>
      </c>
      <c r="B11" t="s">
        <v>460</v>
      </c>
      <c r="C11" s="4">
        <v>16000</v>
      </c>
      <c r="D11" s="12" t="s">
        <v>157</v>
      </c>
      <c r="F11" s="12" t="s">
        <v>25</v>
      </c>
      <c r="I11" s="4">
        <f t="shared" si="0"/>
        <v>0</v>
      </c>
    </row>
    <row r="12" spans="1:11" x14ac:dyDescent="0.25">
      <c r="A12" s="2">
        <v>44734</v>
      </c>
      <c r="C12" s="4">
        <v>205000</v>
      </c>
      <c r="D12" s="12" t="s">
        <v>157</v>
      </c>
      <c r="I12" s="4">
        <f t="shared" si="0"/>
        <v>0</v>
      </c>
    </row>
    <row r="13" spans="1:11" x14ac:dyDescent="0.25">
      <c r="B13" t="s">
        <v>659</v>
      </c>
      <c r="C13" s="4">
        <v>5000</v>
      </c>
      <c r="D13" s="12" t="s">
        <v>157</v>
      </c>
      <c r="I13" s="4">
        <f t="shared" si="0"/>
        <v>0</v>
      </c>
    </row>
    <row r="14" spans="1:11" x14ac:dyDescent="0.25">
      <c r="A14" s="2">
        <v>44755</v>
      </c>
      <c r="B14" t="s">
        <v>663</v>
      </c>
      <c r="C14" s="4">
        <v>32000</v>
      </c>
      <c r="D14" s="12" t="s">
        <v>26</v>
      </c>
      <c r="F14" t="s">
        <v>292</v>
      </c>
      <c r="I14" s="4">
        <f t="shared" si="0"/>
        <v>0</v>
      </c>
    </row>
    <row r="15" spans="1:11" x14ac:dyDescent="0.25">
      <c r="A15" s="2">
        <v>44790</v>
      </c>
      <c r="B15" t="s">
        <v>704</v>
      </c>
      <c r="C15" s="4">
        <v>6000</v>
      </c>
      <c r="D15" s="12" t="s">
        <v>157</v>
      </c>
      <c r="F15" t="s">
        <v>229</v>
      </c>
      <c r="I15" s="4">
        <f t="shared" si="0"/>
        <v>0</v>
      </c>
    </row>
    <row r="16" spans="1:11" x14ac:dyDescent="0.25">
      <c r="B16" t="s">
        <v>605</v>
      </c>
      <c r="C16" s="4">
        <v>10000</v>
      </c>
      <c r="D16" s="12" t="s">
        <v>26</v>
      </c>
      <c r="F16" t="s">
        <v>292</v>
      </c>
      <c r="I16" s="4">
        <f t="shared" si="0"/>
        <v>0</v>
      </c>
    </row>
    <row r="17" spans="1:13" x14ac:dyDescent="0.25">
      <c r="B17" t="s">
        <v>725</v>
      </c>
      <c r="C17" s="4">
        <v>7500</v>
      </c>
      <c r="D17" s="12" t="s">
        <v>26</v>
      </c>
      <c r="F17" t="s">
        <v>270</v>
      </c>
      <c r="I17" s="4">
        <f t="shared" si="0"/>
        <v>0</v>
      </c>
    </row>
    <row r="18" spans="1:13" x14ac:dyDescent="0.25">
      <c r="A18" s="2">
        <v>44971</v>
      </c>
      <c r="B18" t="s">
        <v>883</v>
      </c>
      <c r="C18" s="4">
        <v>21000</v>
      </c>
      <c r="D18" s="12" t="s">
        <v>26</v>
      </c>
      <c r="F18" t="s">
        <v>25</v>
      </c>
      <c r="I18" s="4">
        <f t="shared" si="0"/>
        <v>0</v>
      </c>
    </row>
    <row r="19" spans="1:13" x14ac:dyDescent="0.25">
      <c r="A19" s="2">
        <v>44993</v>
      </c>
      <c r="B19" t="s">
        <v>273</v>
      </c>
      <c r="C19" s="4">
        <v>23000</v>
      </c>
      <c r="D19" s="12" t="s">
        <v>26</v>
      </c>
      <c r="F19" t="s">
        <v>229</v>
      </c>
      <c r="I19" s="4">
        <f t="shared" si="0"/>
        <v>0</v>
      </c>
      <c r="L19" s="2">
        <v>44994</v>
      </c>
      <c r="M19" t="s">
        <v>414</v>
      </c>
    </row>
    <row r="20" spans="1:13" x14ac:dyDescent="0.25">
      <c r="A20" s="2">
        <v>45058</v>
      </c>
      <c r="B20" t="s">
        <v>452</v>
      </c>
      <c r="C20" s="4">
        <v>28000</v>
      </c>
      <c r="D20" s="12" t="s">
        <v>157</v>
      </c>
      <c r="F20" t="s">
        <v>229</v>
      </c>
      <c r="I20" s="4">
        <f t="shared" si="0"/>
        <v>0</v>
      </c>
      <c r="L20" s="2">
        <v>45072</v>
      </c>
      <c r="M20" t="s">
        <v>157</v>
      </c>
    </row>
    <row r="21" spans="1:13" x14ac:dyDescent="0.25">
      <c r="A21" s="2">
        <v>45203</v>
      </c>
      <c r="B21" t="s">
        <v>1115</v>
      </c>
      <c r="C21" s="4">
        <v>30000</v>
      </c>
      <c r="D21" s="12" t="s">
        <v>26</v>
      </c>
      <c r="F21" t="s">
        <v>229</v>
      </c>
      <c r="I21" s="4">
        <f t="shared" si="0"/>
        <v>0</v>
      </c>
      <c r="K21">
        <v>20000</v>
      </c>
      <c r="L21" t="s">
        <v>1125</v>
      </c>
    </row>
    <row r="22" spans="1:13" x14ac:dyDescent="0.25">
      <c r="A22" s="2">
        <v>45233</v>
      </c>
      <c r="B22" t="s">
        <v>1152</v>
      </c>
      <c r="C22" s="4">
        <v>53000</v>
      </c>
      <c r="D22" s="12" t="s">
        <v>26</v>
      </c>
      <c r="F22" t="s">
        <v>229</v>
      </c>
      <c r="I22" s="4">
        <f t="shared" si="0"/>
        <v>0</v>
      </c>
    </row>
    <row r="23" spans="1:13" x14ac:dyDescent="0.25">
      <c r="A23" s="2">
        <v>45233</v>
      </c>
      <c r="B23" t="s">
        <v>1153</v>
      </c>
      <c r="C23" s="4">
        <v>40000</v>
      </c>
      <c r="D23" s="12" t="s">
        <v>26</v>
      </c>
      <c r="F23" t="s">
        <v>229</v>
      </c>
      <c r="I23" s="4">
        <f t="shared" si="0"/>
        <v>0</v>
      </c>
    </row>
    <row r="24" spans="1:13" x14ac:dyDescent="0.25">
      <c r="B24" t="s">
        <v>1250</v>
      </c>
      <c r="C24" s="4">
        <v>25000</v>
      </c>
      <c r="D24" s="12" t="s">
        <v>157</v>
      </c>
      <c r="E24" t="s">
        <v>1254</v>
      </c>
      <c r="I24" s="4">
        <f t="shared" si="0"/>
        <v>0</v>
      </c>
    </row>
    <row r="25" spans="1:13" x14ac:dyDescent="0.25">
      <c r="A25" s="2">
        <v>45371</v>
      </c>
      <c r="B25" t="s">
        <v>1288</v>
      </c>
      <c r="C25" s="4">
        <v>12000</v>
      </c>
      <c r="D25" s="12" t="s">
        <v>157</v>
      </c>
      <c r="I25" s="4">
        <f t="shared" si="0"/>
        <v>0</v>
      </c>
    </row>
    <row r="26" spans="1:13" x14ac:dyDescent="0.25">
      <c r="A26" s="2">
        <v>45638</v>
      </c>
      <c r="B26" t="s">
        <v>1515</v>
      </c>
      <c r="C26" s="4">
        <v>12000</v>
      </c>
      <c r="D26" s="12" t="s">
        <v>364</v>
      </c>
      <c r="I26" s="4">
        <f t="shared" si="0"/>
        <v>12000</v>
      </c>
    </row>
    <row r="27" spans="1:13" x14ac:dyDescent="0.25">
      <c r="A27" s="2">
        <v>45642</v>
      </c>
      <c r="B27" t="s">
        <v>1516</v>
      </c>
      <c r="C27" s="4">
        <v>5000</v>
      </c>
      <c r="D27" s="12" t="s">
        <v>364</v>
      </c>
      <c r="I27" s="4">
        <f t="shared" si="0"/>
        <v>5000</v>
      </c>
    </row>
    <row r="28" spans="1:13" x14ac:dyDescent="0.25">
      <c r="A28" s="2">
        <v>45642</v>
      </c>
      <c r="B28" t="s">
        <v>460</v>
      </c>
      <c r="C28" s="4">
        <v>10000</v>
      </c>
      <c r="D28" s="12" t="s">
        <v>364</v>
      </c>
      <c r="I28" s="4">
        <f t="shared" si="0"/>
        <v>10000</v>
      </c>
    </row>
    <row r="29" spans="1:13" x14ac:dyDescent="0.25">
      <c r="A29" s="2">
        <v>45638</v>
      </c>
      <c r="B29" t="s">
        <v>1517</v>
      </c>
      <c r="C29" s="4">
        <v>85000</v>
      </c>
      <c r="D29" s="12" t="s">
        <v>364</v>
      </c>
      <c r="I29" s="4">
        <f t="shared" si="0"/>
        <v>85000</v>
      </c>
    </row>
    <row r="30" spans="1:13" x14ac:dyDescent="0.25">
      <c r="I30" s="4">
        <f t="shared" si="0"/>
        <v>0</v>
      </c>
    </row>
    <row r="31" spans="1:13" x14ac:dyDescent="0.25">
      <c r="I31" s="4">
        <f t="shared" si="0"/>
        <v>0</v>
      </c>
    </row>
    <row r="32" spans="1:13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</sheetData>
  <autoFilter ref="A1:F39"/>
  <conditionalFormatting sqref="D1:D1048576">
    <cfRule type="cellIs" dxfId="53" priority="7" operator="equal">
      <formula>"PAGADO"</formula>
    </cfRule>
    <cfRule type="cellIs" dxfId="52" priority="8" operator="equal">
      <formula>"PENDIENTE"</formula>
    </cfRule>
    <cfRule type="cellIs" dxfId="51" priority="9" operator="equal">
      <formula>"""PENDIENTE"""</formula>
    </cfRule>
  </conditionalFormatting>
  <conditionalFormatting sqref="E1:E1048576">
    <cfRule type="cellIs" dxfId="50" priority="5" operator="equal">
      <formula>"FACTURADO"</formula>
    </cfRule>
    <cfRule type="cellIs" dxfId="49" priority="6" operator="equal">
      <formula>"NO FACTURADO"</formula>
    </cfRule>
  </conditionalFormatting>
  <conditionalFormatting sqref="F1:F1048576">
    <cfRule type="cellIs" dxfId="48" priority="1" operator="equal">
      <formula>"NATALIA"</formula>
    </cfRule>
    <cfRule type="cellIs" dxfId="47" priority="2" operator="equal">
      <formula>"DELIS"</formula>
    </cfRule>
    <cfRule type="cellIs" dxfId="46" priority="3" operator="equal">
      <formula>"CESAR"</formula>
    </cfRule>
    <cfRule type="cellIs" dxfId="45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K40"/>
  <sheetViews>
    <sheetView workbookViewId="0">
      <selection activeCell="E18" sqref="E18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26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44614</v>
      </c>
      <c r="B3" t="s">
        <v>545</v>
      </c>
      <c r="C3" s="4">
        <v>17000</v>
      </c>
      <c r="D3" s="10" t="s">
        <v>26</v>
      </c>
      <c r="F3" t="s">
        <v>52</v>
      </c>
      <c r="I3" s="4">
        <f t="shared" si="0"/>
        <v>0</v>
      </c>
    </row>
    <row r="4" spans="1:11" x14ac:dyDescent="0.25">
      <c r="A4" s="2">
        <v>44615</v>
      </c>
      <c r="B4" t="s">
        <v>546</v>
      </c>
      <c r="C4" s="4">
        <v>25000</v>
      </c>
      <c r="D4" t="s">
        <v>26</v>
      </c>
      <c r="F4" t="s">
        <v>229</v>
      </c>
      <c r="I4" s="4">
        <f t="shared" si="0"/>
        <v>0</v>
      </c>
    </row>
    <row r="5" spans="1:11" x14ac:dyDescent="0.25">
      <c r="A5" s="2">
        <v>44690</v>
      </c>
      <c r="B5" t="s">
        <v>614</v>
      </c>
      <c r="C5" s="4">
        <v>81000</v>
      </c>
      <c r="D5" s="12" t="s">
        <v>26</v>
      </c>
      <c r="I5" s="4">
        <f t="shared" si="0"/>
        <v>0</v>
      </c>
    </row>
    <row r="6" spans="1:11" x14ac:dyDescent="0.25">
      <c r="A6" s="2">
        <v>44714</v>
      </c>
      <c r="B6" t="s">
        <v>633</v>
      </c>
      <c r="C6" s="4">
        <v>48000</v>
      </c>
      <c r="D6" s="12" t="s">
        <v>26</v>
      </c>
      <c r="F6" s="12" t="s">
        <v>229</v>
      </c>
      <c r="I6" s="4">
        <f t="shared" si="0"/>
        <v>0</v>
      </c>
    </row>
    <row r="7" spans="1:11" x14ac:dyDescent="0.25">
      <c r="A7" s="2">
        <v>44873</v>
      </c>
      <c r="B7" t="s">
        <v>788</v>
      </c>
      <c r="C7" s="4">
        <v>20000</v>
      </c>
      <c r="D7" s="12" t="s">
        <v>470</v>
      </c>
      <c r="F7" s="12" t="s">
        <v>270</v>
      </c>
      <c r="I7" s="4">
        <f t="shared" si="0"/>
        <v>0</v>
      </c>
    </row>
    <row r="8" spans="1:11" x14ac:dyDescent="0.25">
      <c r="A8" s="2">
        <v>44915</v>
      </c>
      <c r="B8" t="s">
        <v>838</v>
      </c>
      <c r="C8" s="4">
        <v>12000</v>
      </c>
      <c r="D8" s="12" t="s">
        <v>26</v>
      </c>
      <c r="F8" s="12" t="s">
        <v>292</v>
      </c>
      <c r="I8" s="4">
        <f t="shared" si="0"/>
        <v>0</v>
      </c>
    </row>
    <row r="9" spans="1:11" x14ac:dyDescent="0.25">
      <c r="A9" s="2">
        <v>44935</v>
      </c>
      <c r="B9" t="s">
        <v>856</v>
      </c>
      <c r="C9" s="4">
        <v>8000</v>
      </c>
      <c r="D9" s="12" t="s">
        <v>26</v>
      </c>
      <c r="F9" s="12" t="s">
        <v>229</v>
      </c>
      <c r="I9" s="4">
        <f t="shared" si="0"/>
        <v>0</v>
      </c>
    </row>
    <row r="10" spans="1:11" x14ac:dyDescent="0.25">
      <c r="A10" s="2">
        <v>44936</v>
      </c>
      <c r="B10" t="s">
        <v>857</v>
      </c>
      <c r="C10" s="4">
        <v>20000</v>
      </c>
      <c r="D10" s="12" t="s">
        <v>26</v>
      </c>
      <c r="F10" s="12" t="s">
        <v>270</v>
      </c>
      <c r="I10" s="4">
        <f t="shared" si="0"/>
        <v>0</v>
      </c>
    </row>
    <row r="11" spans="1:11" x14ac:dyDescent="0.25">
      <c r="B11" t="s">
        <v>874</v>
      </c>
      <c r="C11" s="4">
        <v>9000</v>
      </c>
      <c r="D11" s="12" t="s">
        <v>26</v>
      </c>
      <c r="I11" s="4">
        <f t="shared" si="0"/>
        <v>0</v>
      </c>
    </row>
    <row r="12" spans="1:11" x14ac:dyDescent="0.25">
      <c r="B12" t="s">
        <v>875</v>
      </c>
      <c r="C12" s="4">
        <v>12000</v>
      </c>
      <c r="D12" s="12" t="s">
        <v>26</v>
      </c>
      <c r="I12" s="4">
        <f t="shared" si="0"/>
        <v>0</v>
      </c>
    </row>
    <row r="13" spans="1:11" x14ac:dyDescent="0.25">
      <c r="B13" t="s">
        <v>1273</v>
      </c>
      <c r="C13" s="4">
        <v>7000</v>
      </c>
      <c r="D13" s="12" t="s">
        <v>26</v>
      </c>
      <c r="I13" s="4">
        <f t="shared" si="0"/>
        <v>0</v>
      </c>
    </row>
    <row r="14" spans="1:11" x14ac:dyDescent="0.25">
      <c r="A14" s="2">
        <v>45358</v>
      </c>
      <c r="B14" t="s">
        <v>1279</v>
      </c>
      <c r="C14" s="4">
        <v>25000</v>
      </c>
      <c r="D14" s="12" t="s">
        <v>26</v>
      </c>
      <c r="I14" s="4">
        <f t="shared" si="0"/>
        <v>0</v>
      </c>
    </row>
    <row r="15" spans="1:11" x14ac:dyDescent="0.25">
      <c r="A15" s="2">
        <v>45359</v>
      </c>
      <c r="B15" t="s">
        <v>1280</v>
      </c>
      <c r="C15" s="4">
        <v>7500</v>
      </c>
      <c r="D15" s="12" t="s">
        <v>26</v>
      </c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44" priority="7" operator="equal">
      <formula>"PAGADO"</formula>
    </cfRule>
    <cfRule type="cellIs" dxfId="43" priority="8" operator="equal">
      <formula>"PENDIENTE"</formula>
    </cfRule>
    <cfRule type="cellIs" dxfId="42" priority="9" operator="equal">
      <formula>"""PENDIENTE"""</formula>
    </cfRule>
  </conditionalFormatting>
  <conditionalFormatting sqref="E1:E1048576">
    <cfRule type="cellIs" dxfId="41" priority="5" operator="equal">
      <formula>"FACTURADO"</formula>
    </cfRule>
    <cfRule type="cellIs" dxfId="40" priority="6" operator="equal">
      <formula>"NO FACTURADO"</formula>
    </cfRule>
  </conditionalFormatting>
  <conditionalFormatting sqref="F1:F1048576">
    <cfRule type="cellIs" dxfId="39" priority="1" operator="equal">
      <formula>"NATALIA"</formula>
    </cfRule>
    <cfRule type="cellIs" dxfId="38" priority="2" operator="equal">
      <formula>"DELIS"</formula>
    </cfRule>
    <cfRule type="cellIs" dxfId="37" priority="3" operator="equal">
      <formula>"CESAR"</formula>
    </cfRule>
    <cfRule type="cellIs" dxfId="36" priority="4" operator="equal">
      <formula>"OMAR"</formula>
    </cfRule>
  </conditionalFormatting>
  <hyperlinks>
    <hyperlink ref="K2" location="CLIENTES!A1" display="MENU"/>
  </hyperlink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L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  <col min="10" max="10" width="11.85546875" bestFit="1" customWidth="1"/>
  </cols>
  <sheetData>
    <row r="1" spans="1:12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  <c r="L1" t="s">
        <v>219</v>
      </c>
    </row>
    <row r="2" spans="1:12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5500</v>
      </c>
      <c r="K2" s="11" t="s">
        <v>121</v>
      </c>
    </row>
    <row r="3" spans="1:12" x14ac:dyDescent="0.25">
      <c r="A3" s="2">
        <v>44230</v>
      </c>
      <c r="B3" t="s">
        <v>88</v>
      </c>
      <c r="C3" s="4">
        <v>180000</v>
      </c>
      <c r="D3" s="10" t="s">
        <v>157</v>
      </c>
      <c r="E3" t="s">
        <v>158</v>
      </c>
      <c r="F3" t="s">
        <v>25</v>
      </c>
      <c r="H3" t="str">
        <f t="shared" ref="H3:H22" si="1">IF(E:E="NO FACTURADO","PENDIENTE","AL DIA")</f>
        <v>AL DIA</v>
      </c>
      <c r="I3" s="4">
        <f t="shared" si="0"/>
        <v>0</v>
      </c>
    </row>
    <row r="4" spans="1:12" x14ac:dyDescent="0.25">
      <c r="A4" s="2">
        <v>44230</v>
      </c>
      <c r="B4" t="s">
        <v>89</v>
      </c>
      <c r="C4" s="4">
        <v>14500</v>
      </c>
      <c r="D4" s="10" t="s">
        <v>157</v>
      </c>
      <c r="E4" t="s">
        <v>158</v>
      </c>
      <c r="F4" t="s">
        <v>25</v>
      </c>
      <c r="H4" t="str">
        <f t="shared" si="1"/>
        <v>AL DIA</v>
      </c>
      <c r="I4" s="4">
        <f t="shared" si="0"/>
        <v>0</v>
      </c>
    </row>
    <row r="5" spans="1:12" x14ac:dyDescent="0.25">
      <c r="A5" s="2">
        <v>44230</v>
      </c>
      <c r="B5" t="s">
        <v>90</v>
      </c>
      <c r="C5" s="4">
        <v>13000</v>
      </c>
      <c r="D5" s="10" t="s">
        <v>157</v>
      </c>
      <c r="E5" t="s">
        <v>158</v>
      </c>
      <c r="F5" t="s">
        <v>25</v>
      </c>
      <c r="H5" t="str">
        <f t="shared" si="1"/>
        <v>AL DIA</v>
      </c>
      <c r="I5" s="4">
        <f t="shared" si="0"/>
        <v>0</v>
      </c>
    </row>
    <row r="6" spans="1:12" x14ac:dyDescent="0.25">
      <c r="A6" s="2">
        <v>44230</v>
      </c>
      <c r="B6" t="s">
        <v>91</v>
      </c>
      <c r="C6" s="4">
        <v>11000</v>
      </c>
      <c r="D6" s="10" t="s">
        <v>157</v>
      </c>
      <c r="E6" t="s">
        <v>158</v>
      </c>
      <c r="F6" t="s">
        <v>25</v>
      </c>
      <c r="H6" t="str">
        <f t="shared" si="1"/>
        <v>AL DIA</v>
      </c>
      <c r="I6" s="4">
        <f t="shared" si="0"/>
        <v>0</v>
      </c>
    </row>
    <row r="7" spans="1:12" x14ac:dyDescent="0.25">
      <c r="A7" s="2">
        <v>44230</v>
      </c>
      <c r="B7" t="s">
        <v>93</v>
      </c>
      <c r="C7" s="4">
        <v>10000</v>
      </c>
      <c r="D7" s="10" t="s">
        <v>157</v>
      </c>
      <c r="E7" t="s">
        <v>158</v>
      </c>
      <c r="F7" t="s">
        <v>25</v>
      </c>
      <c r="H7" t="str">
        <f t="shared" si="1"/>
        <v>AL DIA</v>
      </c>
      <c r="I7" s="4">
        <f t="shared" si="0"/>
        <v>0</v>
      </c>
    </row>
    <row r="8" spans="1:12" x14ac:dyDescent="0.25">
      <c r="A8" s="2">
        <v>44264</v>
      </c>
      <c r="B8" t="s">
        <v>159</v>
      </c>
      <c r="C8" s="4">
        <v>10000</v>
      </c>
      <c r="D8" s="10" t="s">
        <v>157</v>
      </c>
      <c r="E8" t="s">
        <v>158</v>
      </c>
      <c r="F8" t="s">
        <v>10</v>
      </c>
      <c r="H8" t="str">
        <f t="shared" si="1"/>
        <v>AL DIA</v>
      </c>
      <c r="I8" s="4">
        <f>IF(D8="PENDIENTE",C8,0)</f>
        <v>0</v>
      </c>
    </row>
    <row r="9" spans="1:12" x14ac:dyDescent="0.25">
      <c r="A9" s="2">
        <v>44266</v>
      </c>
      <c r="B9" t="s">
        <v>168</v>
      </c>
      <c r="C9" s="4">
        <v>19000</v>
      </c>
      <c r="D9" s="10" t="s">
        <v>157</v>
      </c>
      <c r="E9" t="s">
        <v>158</v>
      </c>
      <c r="F9" t="s">
        <v>25</v>
      </c>
      <c r="H9" t="str">
        <f t="shared" si="1"/>
        <v>AL DIA</v>
      </c>
      <c r="I9" s="4">
        <f t="shared" si="0"/>
        <v>0</v>
      </c>
    </row>
    <row r="10" spans="1:12" x14ac:dyDescent="0.25">
      <c r="A10" s="2">
        <v>44266</v>
      </c>
      <c r="B10" t="s">
        <v>169</v>
      </c>
      <c r="C10" s="4">
        <v>5500</v>
      </c>
      <c r="D10" s="10" t="s">
        <v>157</v>
      </c>
      <c r="E10" t="s">
        <v>158</v>
      </c>
      <c r="F10" t="s">
        <v>25</v>
      </c>
      <c r="H10" t="str">
        <f t="shared" si="1"/>
        <v>AL DIA</v>
      </c>
      <c r="I10" s="4">
        <v>5500</v>
      </c>
    </row>
    <row r="11" spans="1:12" x14ac:dyDescent="0.25">
      <c r="A11" s="2">
        <v>44267</v>
      </c>
      <c r="B11" t="s">
        <v>172</v>
      </c>
      <c r="C11" s="4">
        <v>4000</v>
      </c>
      <c r="D11" s="10" t="s">
        <v>157</v>
      </c>
      <c r="E11" t="s">
        <v>158</v>
      </c>
      <c r="F11" t="s">
        <v>25</v>
      </c>
      <c r="H11" t="str">
        <f t="shared" si="1"/>
        <v>AL DIA</v>
      </c>
      <c r="I11" s="4">
        <f t="shared" si="0"/>
        <v>0</v>
      </c>
    </row>
    <row r="12" spans="1:12" x14ac:dyDescent="0.25">
      <c r="A12" s="2">
        <v>44268</v>
      </c>
      <c r="B12" t="s">
        <v>172</v>
      </c>
      <c r="C12" s="4">
        <v>4000</v>
      </c>
      <c r="D12" s="10" t="s">
        <v>157</v>
      </c>
      <c r="E12" t="s">
        <v>158</v>
      </c>
      <c r="F12" t="s">
        <v>25</v>
      </c>
      <c r="H12" t="str">
        <f t="shared" si="1"/>
        <v>AL DIA</v>
      </c>
      <c r="I12" s="4">
        <f t="shared" si="0"/>
        <v>0</v>
      </c>
    </row>
    <row r="13" spans="1:12" x14ac:dyDescent="0.25">
      <c r="A13" s="2">
        <v>44270</v>
      </c>
      <c r="B13" t="s">
        <v>189</v>
      </c>
      <c r="C13" s="4">
        <v>15000</v>
      </c>
      <c r="D13" s="10" t="s">
        <v>157</v>
      </c>
      <c r="E13" t="s">
        <v>158</v>
      </c>
      <c r="F13" t="s">
        <v>25</v>
      </c>
      <c r="H13" t="str">
        <f t="shared" si="1"/>
        <v>AL DIA</v>
      </c>
      <c r="I13" s="4">
        <f t="shared" si="0"/>
        <v>0</v>
      </c>
    </row>
    <row r="14" spans="1:12" x14ac:dyDescent="0.25">
      <c r="A14" s="2">
        <v>44281</v>
      </c>
      <c r="B14" t="s">
        <v>93</v>
      </c>
      <c r="C14" s="4">
        <v>8000</v>
      </c>
      <c r="D14" s="10" t="s">
        <v>157</v>
      </c>
      <c r="E14" t="s">
        <v>158</v>
      </c>
      <c r="F14" t="s">
        <v>52</v>
      </c>
      <c r="H14" t="str">
        <f t="shared" si="1"/>
        <v>AL DIA</v>
      </c>
      <c r="I14" s="4">
        <f t="shared" si="0"/>
        <v>0</v>
      </c>
    </row>
    <row r="15" spans="1:12" x14ac:dyDescent="0.25">
      <c r="A15" s="2">
        <v>44279</v>
      </c>
      <c r="B15" t="s">
        <v>191</v>
      </c>
      <c r="C15" s="4">
        <v>18000</v>
      </c>
      <c r="D15" s="10" t="s">
        <v>157</v>
      </c>
      <c r="E15" t="s">
        <v>158</v>
      </c>
      <c r="F15" t="s">
        <v>25</v>
      </c>
      <c r="H15" t="str">
        <f t="shared" si="1"/>
        <v>AL DIA</v>
      </c>
      <c r="I15" s="4">
        <f t="shared" si="0"/>
        <v>0</v>
      </c>
    </row>
    <row r="16" spans="1:12" x14ac:dyDescent="0.25">
      <c r="A16" s="2">
        <v>44281</v>
      </c>
      <c r="B16" t="s">
        <v>190</v>
      </c>
      <c r="C16" s="4">
        <v>8000</v>
      </c>
      <c r="D16" s="10" t="s">
        <v>157</v>
      </c>
      <c r="E16" t="s">
        <v>158</v>
      </c>
      <c r="F16" t="s">
        <v>52</v>
      </c>
      <c r="H16" t="str">
        <f t="shared" si="1"/>
        <v>AL DIA</v>
      </c>
      <c r="I16" s="4">
        <f t="shared" si="0"/>
        <v>0</v>
      </c>
    </row>
    <row r="17" spans="1:12" x14ac:dyDescent="0.25">
      <c r="A17" s="2">
        <v>44284</v>
      </c>
      <c r="B17" t="s">
        <v>198</v>
      </c>
      <c r="C17" s="4">
        <v>17000</v>
      </c>
      <c r="D17" s="10" t="s">
        <v>157</v>
      </c>
      <c r="E17" t="s">
        <v>158</v>
      </c>
      <c r="F17" t="s">
        <v>103</v>
      </c>
      <c r="H17" t="str">
        <f t="shared" si="1"/>
        <v>AL DIA</v>
      </c>
      <c r="I17" s="4">
        <f t="shared" si="0"/>
        <v>0</v>
      </c>
    </row>
    <row r="18" spans="1:12" x14ac:dyDescent="0.25">
      <c r="A18" s="2">
        <v>44287</v>
      </c>
      <c r="B18" t="s">
        <v>204</v>
      </c>
      <c r="C18" s="4">
        <v>8000</v>
      </c>
      <c r="D18" s="10" t="s">
        <v>157</v>
      </c>
      <c r="E18" t="s">
        <v>158</v>
      </c>
      <c r="F18" t="s">
        <v>10</v>
      </c>
      <c r="H18" t="str">
        <f t="shared" si="1"/>
        <v>AL DIA</v>
      </c>
      <c r="I18" s="4">
        <f t="shared" si="0"/>
        <v>0</v>
      </c>
    </row>
    <row r="19" spans="1:12" x14ac:dyDescent="0.25">
      <c r="A19" s="2">
        <v>44292</v>
      </c>
      <c r="B19" t="s">
        <v>209</v>
      </c>
      <c r="C19" s="4">
        <v>8000</v>
      </c>
      <c r="D19" s="10" t="s">
        <v>157</v>
      </c>
      <c r="E19" t="s">
        <v>158</v>
      </c>
      <c r="F19" t="s">
        <v>25</v>
      </c>
      <c r="H19" t="str">
        <f t="shared" si="1"/>
        <v>AL DIA</v>
      </c>
      <c r="I19" s="4">
        <f t="shared" si="0"/>
        <v>0</v>
      </c>
    </row>
    <row r="20" spans="1:12" x14ac:dyDescent="0.25">
      <c r="A20" s="2">
        <v>44294</v>
      </c>
      <c r="B20" t="s">
        <v>211</v>
      </c>
      <c r="C20" s="4">
        <v>30000</v>
      </c>
      <c r="D20" s="10" t="s">
        <v>157</v>
      </c>
      <c r="E20" t="s">
        <v>158</v>
      </c>
      <c r="F20" t="s">
        <v>10</v>
      </c>
      <c r="H20" t="str">
        <f t="shared" si="1"/>
        <v>AL DIA</v>
      </c>
      <c r="I20" s="4">
        <f t="shared" si="0"/>
        <v>0</v>
      </c>
    </row>
    <row r="21" spans="1:12" x14ac:dyDescent="0.25">
      <c r="A21" s="2">
        <v>44300</v>
      </c>
      <c r="B21" t="s">
        <v>215</v>
      </c>
      <c r="C21" s="4">
        <v>50000</v>
      </c>
      <c r="D21" s="10" t="s">
        <v>157</v>
      </c>
      <c r="E21" t="s">
        <v>216</v>
      </c>
      <c r="F21" t="s">
        <v>52</v>
      </c>
      <c r="H21" t="str">
        <f t="shared" si="1"/>
        <v>AL DIA</v>
      </c>
      <c r="I21" s="4">
        <f t="shared" si="0"/>
        <v>0</v>
      </c>
      <c r="L21">
        <v>4472</v>
      </c>
    </row>
    <row r="22" spans="1:12" x14ac:dyDescent="0.25">
      <c r="C22" s="4">
        <v>6500</v>
      </c>
      <c r="D22" s="10" t="s">
        <v>157</v>
      </c>
      <c r="E22" t="s">
        <v>218</v>
      </c>
      <c r="F22" t="s">
        <v>52</v>
      </c>
      <c r="H22" t="str">
        <f t="shared" si="1"/>
        <v>AL DIA</v>
      </c>
      <c r="I22" s="4">
        <f t="shared" si="0"/>
        <v>0</v>
      </c>
    </row>
    <row r="23" spans="1:12" x14ac:dyDescent="0.25">
      <c r="I23" s="4">
        <f t="shared" si="0"/>
        <v>0</v>
      </c>
    </row>
    <row r="24" spans="1:12" x14ac:dyDescent="0.25">
      <c r="I24" s="4">
        <f t="shared" si="0"/>
        <v>0</v>
      </c>
    </row>
    <row r="25" spans="1:12" x14ac:dyDescent="0.25">
      <c r="I25" s="4">
        <f t="shared" si="0"/>
        <v>0</v>
      </c>
    </row>
    <row r="26" spans="1:12" x14ac:dyDescent="0.25">
      <c r="I26" s="4">
        <f t="shared" si="0"/>
        <v>0</v>
      </c>
    </row>
    <row r="27" spans="1:12" x14ac:dyDescent="0.25">
      <c r="I27" s="4">
        <f t="shared" si="0"/>
        <v>0</v>
      </c>
    </row>
    <row r="28" spans="1:12" x14ac:dyDescent="0.25">
      <c r="I28" s="4">
        <f t="shared" si="0"/>
        <v>0</v>
      </c>
    </row>
    <row r="29" spans="1:12" x14ac:dyDescent="0.25">
      <c r="I29" s="4">
        <f t="shared" si="0"/>
        <v>0</v>
      </c>
    </row>
    <row r="30" spans="1:12" x14ac:dyDescent="0.25">
      <c r="I30" s="4">
        <f t="shared" si="0"/>
        <v>0</v>
      </c>
    </row>
    <row r="31" spans="1:12" x14ac:dyDescent="0.25">
      <c r="I31" s="4">
        <f t="shared" si="0"/>
        <v>0</v>
      </c>
    </row>
    <row r="32" spans="1:12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7 D9:D1048576">
    <cfRule type="cellIs" dxfId="35" priority="10" operator="equal">
      <formula>"PAGADO"</formula>
    </cfRule>
    <cfRule type="cellIs" dxfId="34" priority="11" operator="equal">
      <formula>"PENDIENTE"</formula>
    </cfRule>
    <cfRule type="cellIs" dxfId="33" priority="12" operator="equal">
      <formula>"""PENDIENTE"""</formula>
    </cfRule>
  </conditionalFormatting>
  <conditionalFormatting sqref="E1:E1048576">
    <cfRule type="cellIs" dxfId="32" priority="8" operator="equal">
      <formula>"FACTURADO"</formula>
    </cfRule>
    <cfRule type="cellIs" dxfId="31" priority="9" operator="equal">
      <formula>"NO FACTURADO"</formula>
    </cfRule>
  </conditionalFormatting>
  <conditionalFormatting sqref="F1:F1048576">
    <cfRule type="cellIs" dxfId="30" priority="1" operator="equal">
      <formula>"NATALIA"</formula>
    </cfRule>
    <cfRule type="cellIs" dxfId="29" priority="5" operator="equal">
      <formula>"DELIS"</formula>
    </cfRule>
    <cfRule type="cellIs" dxfId="28" priority="6" operator="equal">
      <formula>"CESAR"</formula>
    </cfRule>
    <cfRule type="cellIs" dxfId="27" priority="7" operator="equal">
      <formula>"OMAR"</formula>
    </cfRule>
  </conditionalFormatting>
  <conditionalFormatting sqref="D8 D20">
    <cfRule type="cellIs" dxfId="26" priority="2" operator="equal">
      <formula>"PAGADO"</formula>
    </cfRule>
    <cfRule type="cellIs" dxfId="25" priority="3" operator="equal">
      <formula>"PENDIENTE"</formula>
    </cfRule>
    <cfRule type="cellIs" dxfId="24" priority="4" operator="equal">
      <formula>"""PENDIENTE"""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40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44245</v>
      </c>
      <c r="B3" t="s">
        <v>125</v>
      </c>
      <c r="D3" s="10" t="s">
        <v>26</v>
      </c>
      <c r="E3" t="s">
        <v>22</v>
      </c>
      <c r="F3" t="s">
        <v>25</v>
      </c>
      <c r="I3" s="4">
        <f t="shared" si="0"/>
        <v>0</v>
      </c>
    </row>
    <row r="4" spans="1:11" x14ac:dyDescent="0.25">
      <c r="A4" s="2">
        <v>44249</v>
      </c>
      <c r="B4" t="s">
        <v>133</v>
      </c>
      <c r="C4" s="4">
        <v>16500</v>
      </c>
      <c r="D4" s="10" t="s">
        <v>26</v>
      </c>
      <c r="F4" t="s">
        <v>25</v>
      </c>
      <c r="I4" s="4">
        <f t="shared" si="0"/>
        <v>0</v>
      </c>
    </row>
    <row r="5" spans="1:11" x14ac:dyDescent="0.25">
      <c r="A5" s="2">
        <v>44267</v>
      </c>
      <c r="B5" t="s">
        <v>170</v>
      </c>
      <c r="C5" s="4">
        <v>16000</v>
      </c>
      <c r="D5" s="12" t="s">
        <v>26</v>
      </c>
      <c r="E5" s="12" t="s">
        <v>22</v>
      </c>
      <c r="F5" s="12" t="s">
        <v>25</v>
      </c>
      <c r="I5" s="4">
        <f t="shared" si="0"/>
        <v>0</v>
      </c>
    </row>
    <row r="6" spans="1:11" x14ac:dyDescent="0.25">
      <c r="A6" s="2">
        <v>44335</v>
      </c>
      <c r="B6" t="s">
        <v>254</v>
      </c>
      <c r="C6" s="4">
        <v>13500</v>
      </c>
      <c r="D6" s="12" t="s">
        <v>26</v>
      </c>
      <c r="E6" s="12" t="s">
        <v>22</v>
      </c>
      <c r="I6" s="4">
        <f t="shared" si="0"/>
        <v>0</v>
      </c>
    </row>
    <row r="7" spans="1:11" x14ac:dyDescent="0.25">
      <c r="A7" s="2">
        <v>44418</v>
      </c>
      <c r="B7" t="s">
        <v>347</v>
      </c>
      <c r="C7" s="4">
        <v>8000</v>
      </c>
      <c r="D7" s="12" t="s">
        <v>26</v>
      </c>
      <c r="E7" s="12" t="s">
        <v>22</v>
      </c>
      <c r="F7" t="s">
        <v>25</v>
      </c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/>
  <conditionalFormatting sqref="D1:D1048576">
    <cfRule type="cellIs" dxfId="23" priority="6" operator="equal">
      <formula>"PAGADO"</formula>
    </cfRule>
    <cfRule type="cellIs" dxfId="22" priority="7" operator="equal">
      <formula>"PENDIENTE"</formula>
    </cfRule>
    <cfRule type="cellIs" dxfId="21" priority="8" operator="equal">
      <formula>"""PENDIENTE"""</formula>
    </cfRule>
  </conditionalFormatting>
  <conditionalFormatting sqref="E1:E1048576">
    <cfRule type="cellIs" dxfId="20" priority="4" operator="equal">
      <formula>"FACTURADO"</formula>
    </cfRule>
    <cfRule type="cellIs" dxfId="19" priority="5" operator="equal">
      <formula>"NO FACTURADO"</formula>
    </cfRule>
  </conditionalFormatting>
  <conditionalFormatting sqref="F1:F1048576">
    <cfRule type="cellIs" dxfId="18" priority="1" operator="equal">
      <formula>"DELIS"</formula>
    </cfRule>
    <cfRule type="cellIs" dxfId="17" priority="2" operator="equal">
      <formula>"CESAR"</formula>
    </cfRule>
    <cfRule type="cellIs" dxfId="16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K39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9" max="9" width="13.7109375" style="4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0" t="s">
        <v>7</v>
      </c>
      <c r="E2" t="s">
        <v>22</v>
      </c>
      <c r="F2" t="s">
        <v>52</v>
      </c>
      <c r="H2" t="str">
        <f>IF(E:E="NO FACTURADO","PENDIENTE","AL DIA")</f>
        <v>AL DIA</v>
      </c>
      <c r="I2" s="4">
        <f t="shared" ref="I2:I39" si="0">IF(D2="PENDIENTE",C2,0)</f>
        <v>0</v>
      </c>
      <c r="J2" s="4">
        <f>SUM(I:I)</f>
        <v>0</v>
      </c>
      <c r="K2" s="11" t="s">
        <v>121</v>
      </c>
    </row>
    <row r="3" spans="1:11" x14ac:dyDescent="0.25">
      <c r="A3" s="2">
        <v>45099</v>
      </c>
      <c r="B3" t="s">
        <v>281</v>
      </c>
      <c r="C3" s="4">
        <v>55000</v>
      </c>
      <c r="D3" s="10" t="s">
        <v>157</v>
      </c>
      <c r="F3" t="s">
        <v>10</v>
      </c>
      <c r="I3" s="4">
        <f t="shared" si="0"/>
        <v>0</v>
      </c>
    </row>
    <row r="4" spans="1:11" x14ac:dyDescent="0.25">
      <c r="A4" s="2">
        <v>45216</v>
      </c>
      <c r="B4" t="s">
        <v>1127</v>
      </c>
      <c r="C4" s="4">
        <v>48000</v>
      </c>
      <c r="D4" s="10" t="s">
        <v>157</v>
      </c>
      <c r="F4" t="s">
        <v>10</v>
      </c>
      <c r="I4" s="4">
        <f t="shared" si="0"/>
        <v>0</v>
      </c>
    </row>
    <row r="5" spans="1:11" x14ac:dyDescent="0.25">
      <c r="I5" s="4">
        <f t="shared" si="0"/>
        <v>0</v>
      </c>
    </row>
    <row r="6" spans="1:11" x14ac:dyDescent="0.25">
      <c r="I6" s="4">
        <f t="shared" si="0"/>
        <v>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</sheetData>
  <autoFilter ref="A1:F39"/>
  <conditionalFormatting sqref="D1:D1048576">
    <cfRule type="cellIs" dxfId="15" priority="6" operator="equal">
      <formula>"PAGADO"</formula>
    </cfRule>
    <cfRule type="cellIs" dxfId="14" priority="7" operator="equal">
      <formula>"PENDIENTE"</formula>
    </cfRule>
    <cfRule type="cellIs" dxfId="13" priority="8" operator="equal">
      <formula>"""PENDIENTE"""</formula>
    </cfRule>
  </conditionalFormatting>
  <conditionalFormatting sqref="E1:E1048576">
    <cfRule type="cellIs" dxfId="12" priority="4" operator="equal">
      <formula>"FACTURADO"</formula>
    </cfRule>
    <cfRule type="cellIs" dxfId="11" priority="5" operator="equal">
      <formula>"NO FACTURADO"</formula>
    </cfRule>
  </conditionalFormatting>
  <conditionalFormatting sqref="F1:F1048576">
    <cfRule type="cellIs" dxfId="10" priority="1" operator="equal">
      <formula>"DELIS"</formula>
    </cfRule>
    <cfRule type="cellIs" dxfId="9" priority="2" operator="equal">
      <formula>"CESAR"</formula>
    </cfRule>
    <cfRule type="cellIs" dxfId="8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/>
  <dimension ref="A1:K40"/>
  <sheetViews>
    <sheetView workbookViewId="0">
      <selection activeCell="K2" sqref="K2"/>
    </sheetView>
  </sheetViews>
  <sheetFormatPr baseColWidth="10" defaultRowHeight="15" x14ac:dyDescent="0.25"/>
  <cols>
    <col min="2" max="2" width="45" customWidth="1"/>
    <col min="3" max="3" width="12" style="4" bestFit="1" customWidth="1"/>
    <col min="5" max="5" width="22.85546875" customWidth="1"/>
    <col min="7" max="7" width="4.140625" customWidth="1"/>
    <col min="8" max="8" width="20.42578125" customWidth="1"/>
    <col min="9" max="9" width="13.7109375" style="4" customWidth="1"/>
    <col min="10" max="10" width="12.85546875" customWidth="1"/>
  </cols>
  <sheetData>
    <row r="1" spans="1:11" x14ac:dyDescent="0.25">
      <c r="A1" s="5" t="s">
        <v>1</v>
      </c>
      <c r="B1" s="5" t="s">
        <v>2</v>
      </c>
      <c r="C1" s="6" t="s">
        <v>3</v>
      </c>
      <c r="D1" s="5" t="s">
        <v>4</v>
      </c>
      <c r="E1" s="5" t="s">
        <v>5</v>
      </c>
      <c r="F1" s="5" t="s">
        <v>9</v>
      </c>
      <c r="H1" s="5" t="s">
        <v>5</v>
      </c>
      <c r="I1" s="9" t="s">
        <v>13</v>
      </c>
      <c r="J1" s="8" t="s">
        <v>12</v>
      </c>
    </row>
    <row r="2" spans="1:11" x14ac:dyDescent="0.25">
      <c r="A2" s="2"/>
      <c r="B2" t="s">
        <v>20</v>
      </c>
      <c r="D2" s="12" t="s">
        <v>26</v>
      </c>
      <c r="E2" t="s">
        <v>22</v>
      </c>
      <c r="F2" t="s">
        <v>52</v>
      </c>
      <c r="H2" t="e">
        <f>IF(E2:E="NO FACTURADO","PENDIENTE","AL DIA")</f>
        <v>#NAME?</v>
      </c>
      <c r="I2" s="4">
        <f t="shared" ref="I2:I40" si="0">IF(D2="PENDIENTE",C2,0)</f>
        <v>0</v>
      </c>
      <c r="J2" s="4">
        <f>SUM(I:I)</f>
        <v>47000</v>
      </c>
      <c r="K2" s="11" t="s">
        <v>121</v>
      </c>
    </row>
    <row r="3" spans="1:11" x14ac:dyDescent="0.25">
      <c r="A3" s="2">
        <v>44239</v>
      </c>
      <c r="B3" t="s">
        <v>120</v>
      </c>
      <c r="C3" s="4">
        <v>25000</v>
      </c>
      <c r="D3" s="12" t="s">
        <v>26</v>
      </c>
      <c r="E3" t="s">
        <v>11</v>
      </c>
      <c r="F3" t="s">
        <v>10</v>
      </c>
      <c r="I3" s="4">
        <f t="shared" si="0"/>
        <v>0</v>
      </c>
    </row>
    <row r="4" spans="1:11" x14ac:dyDescent="0.25">
      <c r="A4" s="2">
        <v>44242</v>
      </c>
      <c r="B4" t="s">
        <v>115</v>
      </c>
      <c r="C4" s="4">
        <v>5500</v>
      </c>
      <c r="D4" s="12" t="s">
        <v>26</v>
      </c>
      <c r="E4" t="s">
        <v>11</v>
      </c>
      <c r="F4" t="s">
        <v>10</v>
      </c>
      <c r="I4" s="4">
        <f t="shared" si="0"/>
        <v>0</v>
      </c>
    </row>
    <row r="5" spans="1:11" x14ac:dyDescent="0.25">
      <c r="A5" s="2">
        <v>44257</v>
      </c>
      <c r="B5" t="s">
        <v>151</v>
      </c>
      <c r="C5" s="4">
        <v>65000</v>
      </c>
      <c r="D5" s="12" t="s">
        <v>26</v>
      </c>
      <c r="E5" s="12" t="s">
        <v>11</v>
      </c>
      <c r="F5" s="12" t="s">
        <v>25</v>
      </c>
      <c r="I5" s="4">
        <f t="shared" si="0"/>
        <v>0</v>
      </c>
    </row>
    <row r="6" spans="1:11" x14ac:dyDescent="0.25">
      <c r="A6" s="2">
        <v>45240</v>
      </c>
      <c r="B6" t="s">
        <v>1159</v>
      </c>
      <c r="C6" s="4">
        <v>47000</v>
      </c>
      <c r="D6" s="12" t="s">
        <v>364</v>
      </c>
      <c r="E6" s="12" t="s">
        <v>1371</v>
      </c>
      <c r="I6" s="4">
        <f t="shared" si="0"/>
        <v>47000</v>
      </c>
    </row>
    <row r="7" spans="1:11" x14ac:dyDescent="0.25">
      <c r="I7" s="4">
        <f t="shared" si="0"/>
        <v>0</v>
      </c>
    </row>
    <row r="8" spans="1:11" x14ac:dyDescent="0.25">
      <c r="I8" s="4">
        <f t="shared" si="0"/>
        <v>0</v>
      </c>
    </row>
    <row r="9" spans="1:11" x14ac:dyDescent="0.25">
      <c r="I9" s="4">
        <f t="shared" si="0"/>
        <v>0</v>
      </c>
    </row>
    <row r="10" spans="1:11" x14ac:dyDescent="0.25">
      <c r="I10" s="4">
        <f t="shared" si="0"/>
        <v>0</v>
      </c>
    </row>
    <row r="11" spans="1:11" x14ac:dyDescent="0.25">
      <c r="I11" s="4">
        <f t="shared" si="0"/>
        <v>0</v>
      </c>
    </row>
    <row r="12" spans="1:11" x14ac:dyDescent="0.25">
      <c r="I12" s="4">
        <f t="shared" si="0"/>
        <v>0</v>
      </c>
    </row>
    <row r="13" spans="1:11" x14ac:dyDescent="0.25">
      <c r="I13" s="4">
        <f t="shared" si="0"/>
        <v>0</v>
      </c>
    </row>
    <row r="14" spans="1:11" x14ac:dyDescent="0.25">
      <c r="I14" s="4">
        <f t="shared" si="0"/>
        <v>0</v>
      </c>
    </row>
    <row r="15" spans="1:11" x14ac:dyDescent="0.25">
      <c r="I15" s="4">
        <f t="shared" si="0"/>
        <v>0</v>
      </c>
    </row>
    <row r="16" spans="1:11" x14ac:dyDescent="0.25">
      <c r="I16" s="4">
        <f t="shared" si="0"/>
        <v>0</v>
      </c>
    </row>
    <row r="17" spans="9:9" x14ac:dyDescent="0.25">
      <c r="I17" s="4">
        <f t="shared" si="0"/>
        <v>0</v>
      </c>
    </row>
    <row r="18" spans="9:9" x14ac:dyDescent="0.25">
      <c r="I18" s="4">
        <f t="shared" si="0"/>
        <v>0</v>
      </c>
    </row>
    <row r="19" spans="9:9" x14ac:dyDescent="0.25">
      <c r="I19" s="4">
        <f t="shared" si="0"/>
        <v>0</v>
      </c>
    </row>
    <row r="20" spans="9:9" x14ac:dyDescent="0.25">
      <c r="I20" s="4">
        <f t="shared" si="0"/>
        <v>0</v>
      </c>
    </row>
    <row r="21" spans="9:9" x14ac:dyDescent="0.25">
      <c r="I21" s="4">
        <f t="shared" si="0"/>
        <v>0</v>
      </c>
    </row>
    <row r="22" spans="9:9" x14ac:dyDescent="0.25">
      <c r="I22" s="4">
        <f t="shared" si="0"/>
        <v>0</v>
      </c>
    </row>
    <row r="23" spans="9:9" x14ac:dyDescent="0.25">
      <c r="I23" s="4">
        <f t="shared" si="0"/>
        <v>0</v>
      </c>
    </row>
    <row r="24" spans="9:9" x14ac:dyDescent="0.25">
      <c r="I24" s="4">
        <f t="shared" si="0"/>
        <v>0</v>
      </c>
    </row>
    <row r="25" spans="9:9" x14ac:dyDescent="0.25">
      <c r="I25" s="4">
        <f t="shared" si="0"/>
        <v>0</v>
      </c>
    </row>
    <row r="26" spans="9:9" x14ac:dyDescent="0.25">
      <c r="I26" s="4">
        <f t="shared" si="0"/>
        <v>0</v>
      </c>
    </row>
    <row r="27" spans="9:9" x14ac:dyDescent="0.25">
      <c r="I27" s="4">
        <f t="shared" si="0"/>
        <v>0</v>
      </c>
    </row>
    <row r="28" spans="9:9" x14ac:dyDescent="0.25">
      <c r="I28" s="4">
        <f t="shared" si="0"/>
        <v>0</v>
      </c>
    </row>
    <row r="29" spans="9:9" x14ac:dyDescent="0.25">
      <c r="I29" s="4">
        <f t="shared" si="0"/>
        <v>0</v>
      </c>
    </row>
    <row r="30" spans="9:9" x14ac:dyDescent="0.25">
      <c r="I30" s="4">
        <f t="shared" si="0"/>
        <v>0</v>
      </c>
    </row>
    <row r="31" spans="9:9" x14ac:dyDescent="0.25">
      <c r="I31" s="4">
        <f t="shared" si="0"/>
        <v>0</v>
      </c>
    </row>
    <row r="32" spans="9:9" x14ac:dyDescent="0.25">
      <c r="I32" s="4">
        <f t="shared" si="0"/>
        <v>0</v>
      </c>
    </row>
    <row r="33" spans="9:9" x14ac:dyDescent="0.25">
      <c r="I33" s="4">
        <f t="shared" si="0"/>
        <v>0</v>
      </c>
    </row>
    <row r="34" spans="9:9" x14ac:dyDescent="0.25">
      <c r="I34" s="4">
        <f t="shared" si="0"/>
        <v>0</v>
      </c>
    </row>
    <row r="35" spans="9:9" x14ac:dyDescent="0.25">
      <c r="I35" s="4">
        <f t="shared" si="0"/>
        <v>0</v>
      </c>
    </row>
    <row r="36" spans="9:9" x14ac:dyDescent="0.25">
      <c r="I36" s="4">
        <f t="shared" si="0"/>
        <v>0</v>
      </c>
    </row>
    <row r="37" spans="9:9" x14ac:dyDescent="0.25">
      <c r="I37" s="4">
        <f t="shared" si="0"/>
        <v>0</v>
      </c>
    </row>
    <row r="38" spans="9:9" x14ac:dyDescent="0.25">
      <c r="I38" s="4">
        <f t="shared" si="0"/>
        <v>0</v>
      </c>
    </row>
    <row r="39" spans="9:9" x14ac:dyDescent="0.25">
      <c r="I39" s="4">
        <f t="shared" si="0"/>
        <v>0</v>
      </c>
    </row>
    <row r="40" spans="9:9" x14ac:dyDescent="0.25">
      <c r="I40" s="4">
        <f t="shared" si="0"/>
        <v>0</v>
      </c>
    </row>
  </sheetData>
  <autoFilter ref="A1:F40">
    <sortState ref="A2:F40">
      <sortCondition descending="1" ref="F1:F40"/>
    </sortState>
  </autoFilter>
  <conditionalFormatting sqref="D1:D1048576">
    <cfRule type="cellIs" dxfId="7" priority="6" operator="equal">
      <formula>"PAGADO"</formula>
    </cfRule>
    <cfRule type="cellIs" dxfId="6" priority="7" operator="equal">
      <formula>"PENDIENTE"</formula>
    </cfRule>
    <cfRule type="cellIs" dxfId="5" priority="8" operator="equal">
      <formula>"""PENDIENTE"""</formula>
    </cfRule>
  </conditionalFormatting>
  <conditionalFormatting sqref="E1:E1048576">
    <cfRule type="cellIs" dxfId="4" priority="4" operator="equal">
      <formula>"FACTURADO"</formula>
    </cfRule>
    <cfRule type="cellIs" dxfId="3" priority="5" operator="equal">
      <formula>"NO FACTURADO"</formula>
    </cfRule>
  </conditionalFormatting>
  <conditionalFormatting sqref="F1:F1048576">
    <cfRule type="cellIs" dxfId="2" priority="1" operator="equal">
      <formula>"DELIS"</formula>
    </cfRule>
    <cfRule type="cellIs" dxfId="1" priority="2" operator="equal">
      <formula>"CESAR"</formula>
    </cfRule>
    <cfRule type="cellIs" dxfId="0" priority="3" operator="equal">
      <formula>"OMAR"</formula>
    </cfRule>
  </conditionalFormatting>
  <hyperlinks>
    <hyperlink ref="K2" location="CLIENTES!A1" display="MENU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"/>
  <sheetViews>
    <sheetView zoomScaleNormal="100" workbookViewId="0">
      <selection activeCell="F8" sqref="F8:F9"/>
    </sheetView>
  </sheetViews>
  <sheetFormatPr baseColWidth="10" defaultRowHeight="15" x14ac:dyDescent="0.25"/>
  <cols>
    <col min="1" max="1" width="22.7109375" customWidth="1"/>
    <col min="2" max="2" width="11.5703125" customWidth="1"/>
    <col min="3" max="3" width="22.8554687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95</vt:i4>
      </vt:variant>
      <vt:variant>
        <vt:lpstr>Rangos con nombre</vt:lpstr>
      </vt:variant>
      <vt:variant>
        <vt:i4>2</vt:i4>
      </vt:variant>
    </vt:vector>
  </HeadingPairs>
  <TitlesOfParts>
    <vt:vector size="97" baseType="lpstr">
      <vt:lpstr>CLIENTES</vt:lpstr>
      <vt:lpstr>PLANTILLA</vt:lpstr>
      <vt:lpstr>PEDRO NEGRONI </vt:lpstr>
      <vt:lpstr>JORGE CEA HERMANO RAUL CEA</vt:lpstr>
      <vt:lpstr>ALEMBERTH MORALES</vt:lpstr>
      <vt:lpstr>vecino fruteria sra Marta </vt:lpstr>
      <vt:lpstr>JAIME DON SADY</vt:lpstr>
      <vt:lpstr>PAPA DE ENRIQUE ANGULO</vt:lpstr>
      <vt:lpstr>JEREZ (CHUECO BUS NORTE)</vt:lpstr>
      <vt:lpstr>CARDENAS TORNERO (CHICO TIO CHO</vt:lpstr>
      <vt:lpstr>ALVARO CARRILLO</vt:lpstr>
      <vt:lpstr>SRA NELLY FURGON</vt:lpstr>
      <vt:lpstr>CRISTIAN SANTANA (PAILA)</vt:lpstr>
      <vt:lpstr>CESAR CARDENAS</vt:lpstr>
      <vt:lpstr>VICTOR GUTTIERREZ (TIO PABLO)</vt:lpstr>
      <vt:lpstr>BORIS MANCILLA (CACHETE)</vt:lpstr>
      <vt:lpstr>VICTOR MUÑOZ PEREZ (HUEITRA)</vt:lpstr>
      <vt:lpstr>DON JAIME GALLARDO PUCA</vt:lpstr>
      <vt:lpstr>ESTEBAN FARSO</vt:lpstr>
      <vt:lpstr>MANUEL VILLA </vt:lpstr>
      <vt:lpstr>VECINO GAS MOLL</vt:lpstr>
      <vt:lpstr>PAPA DE GUILLE</vt:lpstr>
      <vt:lpstr>SEGOVIA GUILLERMO</vt:lpstr>
      <vt:lpstr>FERNANDEZ NICASIO (TIO CABALLO)</vt:lpstr>
      <vt:lpstr>TIO CABALLO</vt:lpstr>
      <vt:lpstr>PAREDES JUAN (PERRITO)</vt:lpstr>
      <vt:lpstr>PALMA ROSAS JUAN  (VITOY)</vt:lpstr>
      <vt:lpstr>CORONADO LORENA</vt:lpstr>
      <vt:lpstr>MAESTRO GODOY  CACHITO</vt:lpstr>
      <vt:lpstr>NAGIAN BERNARDO </vt:lpstr>
      <vt:lpstr>TIO OMAR</vt:lpstr>
      <vt:lpstr>AROS MARCIA</vt:lpstr>
      <vt:lpstr>TOSKA</vt:lpstr>
      <vt:lpstr>CLIENTE NUEVO</vt:lpstr>
      <vt:lpstr>CHICO JULIO</vt:lpstr>
      <vt:lpstr>FELIPE AGUILAR (BULLA) LICAN</vt:lpstr>
      <vt:lpstr>FUENTES HECTOR</vt:lpstr>
      <vt:lpstr>LOAIZA JOSE(FRANKE)</vt:lpstr>
      <vt:lpstr>LORCA EMERSON</vt:lpstr>
      <vt:lpstr>PUSCHEL PABLO</vt:lpstr>
      <vt:lpstr>HENRIQUES JORGE (HUEVO)</vt:lpstr>
      <vt:lpstr>ROA MANUEL</vt:lpstr>
      <vt:lpstr>BAHAMONDEZ JORGE</vt:lpstr>
      <vt:lpstr>VELASQUEZ MECANICO</vt:lpstr>
      <vt:lpstr>CONTRERAS SEBASTIAN (PAREJAJUST</vt:lpstr>
      <vt:lpstr>CARRASCO PEDRO (ZORRO)</vt:lpstr>
      <vt:lpstr>TIO CHINO LESPAI</vt:lpstr>
      <vt:lpstr>BAHAMONDEZ MARCO (SUBOFICIAL)</vt:lpstr>
      <vt:lpstr>PINUER OMAR</vt:lpstr>
      <vt:lpstr>HERNANDEZ HECTOR (FALABELLA)</vt:lpstr>
      <vt:lpstr>BARRIA MIGUEL</vt:lpstr>
      <vt:lpstr>ROBLES LUIS</vt:lpstr>
      <vt:lpstr>SOBARZO RODOLFO</vt:lpstr>
      <vt:lpstr>AGUILAR HANZ</vt:lpstr>
      <vt:lpstr>VENEGAS EFRAIN BERNABE</vt:lpstr>
      <vt:lpstr>MONTES WALTER (LOCO EDY)</vt:lpstr>
      <vt:lpstr>RICARDO 5L</vt:lpstr>
      <vt:lpstr>BELARMINO MONSALVE</vt:lpstr>
      <vt:lpstr>FUENTES LUIS</vt:lpstr>
      <vt:lpstr>RUIZ MIREYA</vt:lpstr>
      <vt:lpstr>VIDAL CARLOS (ESTACIONAMIENTO)</vt:lpstr>
      <vt:lpstr>AGUILAR FELIPE (BULLA)</vt:lpstr>
      <vt:lpstr>CANALES JOSE LUIS</vt:lpstr>
      <vt:lpstr>CARDENAS GABRIEL</vt:lpstr>
      <vt:lpstr>CASTRO ALEX</vt:lpstr>
      <vt:lpstr>CASTRO NOLBERTO</vt:lpstr>
      <vt:lpstr>CEA RAUL</vt:lpstr>
      <vt:lpstr>COMIGUAL HUGO</vt:lpstr>
      <vt:lpstr>DEL RIO LORCA EMERSON</vt:lpstr>
      <vt:lpstr>DELGADO PATRICIO (RAPIDO Y FUR)</vt:lpstr>
      <vt:lpstr>FOLLERT CARDENAS JOSE</vt:lpstr>
      <vt:lpstr>GALLARDO ARMANDO</vt:lpstr>
      <vt:lpstr>GONZALEZ NELSON</vt:lpstr>
      <vt:lpstr>GUERRERO RODRIGO</vt:lpstr>
      <vt:lpstr>HINOSTROZA MOISES (LA CUMBRE)</vt:lpstr>
      <vt:lpstr>HUALA CARLOS</vt:lpstr>
      <vt:lpstr>MALDONADO MOISES</vt:lpstr>
      <vt:lpstr>MARTINEZ EDUARDO (FUSCHLOCHER)</vt:lpstr>
      <vt:lpstr>MENARES MAIKOL (GRUA)</vt:lpstr>
      <vt:lpstr>MORALES JORGE</vt:lpstr>
      <vt:lpstr>MOTOR EXPRESS</vt:lpstr>
      <vt:lpstr>PEREZ SADY</vt:lpstr>
      <vt:lpstr>PINGUINO MAURI</vt:lpstr>
      <vt:lpstr>PORTALES CRISTIAN</vt:lpstr>
      <vt:lpstr>QUEZADA RICHARD</vt:lpstr>
      <vt:lpstr>REYES ANDRES (PIRLO)</vt:lpstr>
      <vt:lpstr>ROA JULIAN</vt:lpstr>
      <vt:lpstr>ROGEL MARCOS</vt:lpstr>
      <vt:lpstr>ROSAS ALVARO</vt:lpstr>
      <vt:lpstr>ROSAS SERGIO (DON CHECHO)</vt:lpstr>
      <vt:lpstr>RUIZ JOAQUIN (CHISPA)</vt:lpstr>
      <vt:lpstr>T Y P</vt:lpstr>
      <vt:lpstr>TOLEDO IVAN (EL TERRIBLE)</vt:lpstr>
      <vt:lpstr>VERA LUIS (ELECTROVERA)</vt:lpstr>
      <vt:lpstr>Hoja1</vt:lpstr>
      <vt:lpstr>JULIANROA</vt:lpstr>
      <vt:lpstr>ROAJULIAN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Delis Cardenas</dc:creator>
  <cp:lastModifiedBy>Psicologa</cp:lastModifiedBy>
  <cp:lastPrinted>2024-07-04T13:15:58Z</cp:lastPrinted>
  <dcterms:created xsi:type="dcterms:W3CDTF">2020-12-23T16:45:46Z</dcterms:created>
  <dcterms:modified xsi:type="dcterms:W3CDTF">2025-01-21T13:09:29Z</dcterms:modified>
</cp:coreProperties>
</file>